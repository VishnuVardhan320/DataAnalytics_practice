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302EE5D-1E54-4AF5-A067-79A66BB05777}" xr6:coauthVersionLast="47" xr6:coauthVersionMax="47" xr10:uidLastSave="{00000000-0000-0000-0000-000000000000}"/>
  <bookViews>
    <workbookView xWindow="-120" yWindow="-120" windowWidth="29040" windowHeight="15720" firstSheet="2" activeTab="7" xr2:uid="{86A7C6A2-63D0-485F-879E-11A0484E0DDE}"/>
  </bookViews>
  <sheets>
    <sheet name="Sheet3" sheetId="3" r:id="rId1"/>
    <sheet name="Sheet5" sheetId="5" r:id="rId2"/>
    <sheet name="Sheet6" sheetId="6" r:id="rId3"/>
    <sheet name="Sheet8" sheetId="8" r:id="rId4"/>
    <sheet name="Sheet9" sheetId="9" r:id="rId5"/>
    <sheet name="Sheet10" sheetId="10" r:id="rId6"/>
    <sheet name="Sheet11" sheetId="11" r:id="rId7"/>
    <sheet name="Sheet1" sheetId="1" r:id="rId8"/>
    <sheet name="Sheet2" sheetId="2" r:id="rId9"/>
  </sheets>
  <definedNames>
    <definedName name="_xlnm._FilterDatabase" localSheetId="7" hidden="1">Sheet1!$G$35:$M$38</definedName>
    <definedName name="_xlchart.v2.0" hidden="1">Sheet1!$A$91:$A$102</definedName>
    <definedName name="_xlchart.v2.1" hidden="1">Sheet1!$F$91:$F$102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2" i="1" l="1"/>
  <c r="G151" i="1"/>
  <c r="D151" i="1" a="1"/>
  <c r="D151" i="1"/>
  <c r="D150" i="1" a="1"/>
  <c r="D150" i="1" s="1"/>
  <c r="D149" i="1" a="1"/>
  <c r="D149" i="1" s="1"/>
  <c r="C151" i="1" a="1"/>
  <c r="C151" i="1" s="1"/>
  <c r="C150" i="1" a="1"/>
  <c r="C150" i="1"/>
  <c r="C149" i="1" a="1"/>
  <c r="C149" i="1"/>
  <c r="D131" i="1" a="1"/>
  <c r="D131" i="1" s="1"/>
  <c r="C131" i="1" a="1"/>
  <c r="C131" i="1" s="1"/>
  <c r="B131" i="1" a="1"/>
  <c r="B131" i="1" s="1"/>
  <c r="G106" i="1" l="1"/>
  <c r="E111" i="1"/>
  <c r="C108" i="1"/>
  <c r="C107" i="1"/>
  <c r="E109" i="1"/>
  <c r="E108" i="1"/>
  <c r="F87" i="1"/>
  <c r="E71" i="1" a="1"/>
  <c r="E71" i="1" s="1"/>
  <c r="N63" i="1"/>
  <c r="N62" i="1"/>
  <c r="N64" i="1"/>
  <c r="N65" i="1"/>
  <c r="N66" i="1"/>
  <c r="N67" i="1"/>
  <c r="M62" i="1"/>
  <c r="M63" i="1"/>
  <c r="M64" i="1"/>
  <c r="M65" i="1"/>
  <c r="M66" i="1"/>
  <c r="M67" i="1"/>
  <c r="F64" i="1"/>
  <c r="F65" i="1"/>
  <c r="F62" i="1"/>
  <c r="F63" i="1"/>
  <c r="L62" i="1"/>
  <c r="L63" i="1"/>
  <c r="L64" i="1"/>
  <c r="L65" i="1"/>
  <c r="L66" i="1"/>
  <c r="L67" i="1"/>
  <c r="K62" i="1"/>
  <c r="K63" i="1"/>
  <c r="K64" i="1"/>
  <c r="K65" i="1"/>
  <c r="K66" i="1"/>
  <c r="K67" i="1"/>
  <c r="I62" i="1"/>
  <c r="I63" i="1"/>
  <c r="I64" i="1"/>
  <c r="I65" i="1"/>
  <c r="I66" i="1"/>
  <c r="I67" i="1"/>
  <c r="H62" i="1"/>
  <c r="H63" i="1"/>
  <c r="H64" i="1"/>
  <c r="H65" i="1"/>
  <c r="J65" i="1" s="1"/>
  <c r="H66" i="1"/>
  <c r="H67" i="1"/>
  <c r="G62" i="1"/>
  <c r="G63" i="1"/>
  <c r="G64" i="1"/>
  <c r="G65" i="1"/>
  <c r="G66" i="1"/>
  <c r="G67" i="1"/>
  <c r="F66" i="1"/>
  <c r="F67" i="1"/>
  <c r="I58" i="1"/>
  <c r="I56" i="1" a="1"/>
  <c r="I56" i="1" s="1"/>
  <c r="I55" i="1" a="1"/>
  <c r="I55" i="1" s="1"/>
  <c r="D57" i="1"/>
  <c r="D55" i="1"/>
  <c r="G51" i="1"/>
  <c r="G49" i="1"/>
  <c r="G47" i="1"/>
  <c r="G35" i="1" a="1"/>
  <c r="G35" i="1" s="1"/>
  <c r="D43" i="1"/>
  <c r="F37" i="1"/>
  <c r="E21" i="1"/>
  <c r="J17" i="1"/>
  <c r="I17" i="1"/>
  <c r="F13" i="1"/>
  <c r="K10" i="1" s="1"/>
  <c r="G17" i="1"/>
  <c r="E18" i="1"/>
  <c r="E17" i="1"/>
  <c r="I27" i="1"/>
  <c r="H27" i="1"/>
  <c r="G27" i="1"/>
  <c r="D27" i="1"/>
  <c r="E27" i="1"/>
  <c r="F27" i="1"/>
  <c r="E23" i="1"/>
  <c r="D23" i="1"/>
  <c r="D24" i="1"/>
  <c r="B23" i="1"/>
  <c r="C23" i="1" s="1"/>
  <c r="G13" i="1"/>
  <c r="J10" i="1" s="1"/>
  <c r="B19" i="1"/>
  <c r="B18" i="1"/>
  <c r="B16" i="1"/>
  <c r="E16" i="1"/>
  <c r="F16" i="1"/>
  <c r="D16" i="1"/>
  <c r="K17" i="1" s="1"/>
  <c r="C16" i="1"/>
  <c r="A10" i="1"/>
  <c r="I13" i="1"/>
  <c r="I12" i="1"/>
  <c r="B10" i="1"/>
  <c r="C10" i="1" s="1"/>
  <c r="A11" i="1"/>
  <c r="B3" i="1"/>
  <c r="O4" i="1"/>
  <c r="O5" i="1"/>
  <c r="O6" i="1"/>
  <c r="O7" i="1"/>
  <c r="O3" i="1"/>
  <c r="N4" i="1"/>
  <c r="N5" i="1"/>
  <c r="N6" i="1"/>
  <c r="N7" i="1"/>
  <c r="N3" i="1"/>
  <c r="M4" i="1"/>
  <c r="M5" i="1"/>
  <c r="M6" i="1"/>
  <c r="M7" i="1"/>
  <c r="M3" i="1"/>
  <c r="L4" i="1"/>
  <c r="L5" i="1"/>
  <c r="L6" i="1"/>
  <c r="L7" i="1"/>
  <c r="L3" i="1"/>
  <c r="B7" i="1"/>
  <c r="B4" i="1"/>
  <c r="B5" i="1"/>
  <c r="B6" i="1"/>
  <c r="J64" i="1" l="1"/>
  <c r="J62" i="1"/>
  <c r="J63" i="1"/>
  <c r="J67" i="1"/>
  <c r="J66" i="1"/>
  <c r="F42" i="1"/>
  <c r="F40" i="1"/>
  <c r="G41" i="1"/>
  <c r="H41" i="1"/>
  <c r="G10" i="1"/>
  <c r="D21" i="1"/>
  <c r="I10" i="1"/>
  <c r="H10" i="1"/>
  <c r="F10" i="1"/>
  <c r="E10" i="1"/>
  <c r="D10" i="1"/>
  <c r="C5" i="1"/>
  <c r="C3" i="1"/>
  <c r="C7" i="1"/>
  <c r="C6" i="1"/>
  <c r="C4" i="1"/>
  <c r="H4" i="1" s="1"/>
  <c r="H5" i="1"/>
  <c r="D7" i="1"/>
  <c r="G7" i="1" s="1"/>
  <c r="I3" i="1" l="1"/>
  <c r="D3" i="1"/>
  <c r="G3" i="1" s="1"/>
  <c r="I4" i="1"/>
  <c r="I6" i="1"/>
  <c r="E7" i="1"/>
  <c r="F7" i="1" s="1"/>
  <c r="E3" i="1"/>
  <c r="H3" i="1"/>
  <c r="H6" i="1"/>
  <c r="D5" i="1"/>
  <c r="G5" i="1" s="1"/>
  <c r="H7" i="1"/>
  <c r="I7" i="1"/>
  <c r="D4" i="1"/>
  <c r="G4" i="1" s="1"/>
  <c r="I5" i="1"/>
  <c r="D6" i="1"/>
  <c r="G6" i="1" s="1"/>
  <c r="F3" i="1" l="1"/>
  <c r="J3" i="1" s="1"/>
  <c r="E5" i="1"/>
  <c r="F5" i="1" s="1"/>
  <c r="J5" i="1"/>
  <c r="J7" i="1"/>
  <c r="E6" i="1"/>
  <c r="F6" i="1" s="1"/>
  <c r="E4" i="1"/>
  <c r="F4" i="1" s="1"/>
  <c r="J4" i="1" s="1"/>
  <c r="J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<sst xmlns="http://schemas.openxmlformats.org/spreadsheetml/2006/main" count="489" uniqueCount="242">
  <si>
    <t>Round</t>
  </si>
  <si>
    <t>root</t>
  </si>
  <si>
    <t>min</t>
  </si>
  <si>
    <t>max</t>
  </si>
  <si>
    <t>sum</t>
  </si>
  <si>
    <t>function in function</t>
  </si>
  <si>
    <t>average</t>
  </si>
  <si>
    <t>median</t>
  </si>
  <si>
    <t>rank</t>
  </si>
  <si>
    <t>left</t>
  </si>
  <si>
    <t>pre define functions</t>
  </si>
  <si>
    <t>data</t>
  </si>
  <si>
    <t>text_data</t>
  </si>
  <si>
    <t>vishnu</t>
  </si>
  <si>
    <t>sunil</t>
  </si>
  <si>
    <t>siva ram</t>
  </si>
  <si>
    <t>shan</t>
  </si>
  <si>
    <t>vivekanan</t>
  </si>
  <si>
    <t>right</t>
  </si>
  <si>
    <t>length</t>
  </si>
  <si>
    <t>mid</t>
  </si>
  <si>
    <t>Date</t>
  </si>
  <si>
    <t>today</t>
  </si>
  <si>
    <t>year</t>
  </si>
  <si>
    <t>month</t>
  </si>
  <si>
    <t>day</t>
  </si>
  <si>
    <t>networkdays</t>
  </si>
  <si>
    <t>apple</t>
  </si>
  <si>
    <t>eomonth</t>
  </si>
  <si>
    <t>weekday</t>
  </si>
  <si>
    <t>datedif</t>
  </si>
  <si>
    <t>text functions</t>
  </si>
  <si>
    <t>vishnu kalagotla</t>
  </si>
  <si>
    <t>find</t>
  </si>
  <si>
    <t>replace</t>
  </si>
  <si>
    <t>substitute</t>
  </si>
  <si>
    <t>search</t>
  </si>
  <si>
    <t>Mathematical</t>
  </si>
  <si>
    <t>product</t>
  </si>
  <si>
    <t>round</t>
  </si>
  <si>
    <t>mod</t>
  </si>
  <si>
    <t>factorial</t>
  </si>
  <si>
    <t>color</t>
  </si>
  <si>
    <t>value</t>
  </si>
  <si>
    <t>red</t>
  </si>
  <si>
    <t>blue</t>
  </si>
  <si>
    <t>yellow</t>
  </si>
  <si>
    <t>region</t>
  </si>
  <si>
    <t>ap</t>
  </si>
  <si>
    <t>t</t>
  </si>
  <si>
    <t>mh</t>
  </si>
  <si>
    <t>sumif</t>
  </si>
  <si>
    <t>sumifs</t>
  </si>
  <si>
    <t>averageif</t>
  </si>
  <si>
    <t>averageifs</t>
  </si>
  <si>
    <t>va</t>
  </si>
  <si>
    <t>rd</t>
  </si>
  <si>
    <t>ha</t>
  </si>
  <si>
    <t>n</t>
  </si>
  <si>
    <t>textjoin</t>
  </si>
  <si>
    <t xml:space="preserve">it is used to add delimiter with text </t>
  </si>
  <si>
    <t>upper</t>
  </si>
  <si>
    <t>convert to upper case</t>
  </si>
  <si>
    <t>lower</t>
  </si>
  <si>
    <t>lower case</t>
  </si>
  <si>
    <t>proper</t>
  </si>
  <si>
    <t>first letter capital</t>
  </si>
  <si>
    <t>find  and searh diff</t>
  </si>
  <si>
    <t>both are same but search() is not case sensitive</t>
  </si>
  <si>
    <t>convert text to number</t>
  </si>
  <si>
    <t>exact</t>
  </si>
  <si>
    <t>check two text are same</t>
  </si>
  <si>
    <t>LookUps</t>
  </si>
  <si>
    <t>id</t>
  </si>
  <si>
    <t>name</t>
  </si>
  <si>
    <t>branch</t>
  </si>
  <si>
    <t>marks</t>
  </si>
  <si>
    <t>vis</t>
  </si>
  <si>
    <t>viv</t>
  </si>
  <si>
    <t>var</t>
  </si>
  <si>
    <t>csd</t>
  </si>
  <si>
    <t>cse</t>
  </si>
  <si>
    <t>ai</t>
  </si>
  <si>
    <t>ml</t>
  </si>
  <si>
    <t>ece</t>
  </si>
  <si>
    <t>vlookup</t>
  </si>
  <si>
    <t>search column wise</t>
  </si>
  <si>
    <t>hlookup</t>
  </si>
  <si>
    <t>Xlookup</t>
  </si>
  <si>
    <t>index</t>
  </si>
  <si>
    <t>match</t>
  </si>
  <si>
    <t>practice tasks</t>
  </si>
  <si>
    <t>Emp ID</t>
  </si>
  <si>
    <t>Name</t>
  </si>
  <si>
    <t>Department</t>
  </si>
  <si>
    <t>Salary</t>
  </si>
  <si>
    <t>Manager</t>
  </si>
  <si>
    <t>E101</t>
  </si>
  <si>
    <t>Vishnu</t>
  </si>
  <si>
    <t>IT</t>
  </si>
  <si>
    <t>Ravi</t>
  </si>
  <si>
    <t>E102</t>
  </si>
  <si>
    <t>Sai</t>
  </si>
  <si>
    <t>HR</t>
  </si>
  <si>
    <t>Kiran</t>
  </si>
  <si>
    <t>E103</t>
  </si>
  <si>
    <t>Imtiaz</t>
  </si>
  <si>
    <t>Finance</t>
  </si>
  <si>
    <t>Kumar</t>
  </si>
  <si>
    <t>E104</t>
  </si>
  <si>
    <t>Sagar</t>
  </si>
  <si>
    <t>E105</t>
  </si>
  <si>
    <t>Venkey</t>
  </si>
  <si>
    <t>Sales</t>
  </si>
  <si>
    <t>Prasad</t>
  </si>
  <si>
    <t>1)Find the Name of Employee ID E103</t>
  </si>
  <si>
    <t>2)Find the Salary of Employee ID E104.</t>
  </si>
  <si>
    <t>3)Find the Manager of Employee ID E101.</t>
  </si>
  <si>
    <t>Salary Range</t>
  </si>
  <si>
    <t>Grade</t>
  </si>
  <si>
    <t>C</t>
  </si>
  <si>
    <t>B</t>
  </si>
  <si>
    <t>A</t>
  </si>
  <si>
    <t>A+</t>
  </si>
  <si>
    <t>Find Grade for Salary 55000.</t>
  </si>
  <si>
    <t>Find Grade for Salary 25000.</t>
  </si>
  <si>
    <t>Bonus</t>
  </si>
  <si>
    <t>Find Bonus for E101 in HR.</t>
  </si>
  <si>
    <t>logical operations</t>
  </si>
  <si>
    <t>grade</t>
  </si>
  <si>
    <t>and</t>
  </si>
  <si>
    <t>or</t>
  </si>
  <si>
    <t>not</t>
  </si>
  <si>
    <t>xor</t>
  </si>
  <si>
    <t>isblank</t>
  </si>
  <si>
    <t>isnumber</t>
  </si>
  <si>
    <t>iserror</t>
  </si>
  <si>
    <t>iferror</t>
  </si>
  <si>
    <t>ifs</t>
  </si>
  <si>
    <t>without creating nested if we use ifs()</t>
  </si>
  <si>
    <t>formatting</t>
  </si>
  <si>
    <t xml:space="preserve">1)data formatting </t>
  </si>
  <si>
    <t>2)custom formatting</t>
  </si>
  <si>
    <t>3)Conditional formatting</t>
  </si>
  <si>
    <t>Employee Name</t>
  </si>
  <si>
    <t>Joining Date</t>
  </si>
  <si>
    <t>Sales Amount</t>
  </si>
  <si>
    <t>Target</t>
  </si>
  <si>
    <t>Achievement %</t>
  </si>
  <si>
    <t>Status</t>
  </si>
  <si>
    <t>vishnu vardhan</t>
  </si>
  <si>
    <t>Completed</t>
  </si>
  <si>
    <t>sai kumar</t>
  </si>
  <si>
    <t>ravi teja</t>
  </si>
  <si>
    <t>Pending</t>
  </si>
  <si>
    <t>imtiaz ali</t>
  </si>
  <si>
    <t>sagar reddy</t>
  </si>
  <si>
    <t>E106</t>
  </si>
  <si>
    <t>venkey</t>
  </si>
  <si>
    <t>E107</t>
  </si>
  <si>
    <t>prajwal</t>
  </si>
  <si>
    <t>E108</t>
  </si>
  <si>
    <t>mohan krishna</t>
  </si>
  <si>
    <t>excel charts</t>
  </si>
  <si>
    <t>Month</t>
  </si>
  <si>
    <t>Product</t>
  </si>
  <si>
    <t>Profit</t>
  </si>
  <si>
    <t>Employees</t>
  </si>
  <si>
    <t>Ad Spend</t>
  </si>
  <si>
    <t>Customer Count</t>
  </si>
  <si>
    <t>Jan</t>
  </si>
  <si>
    <t>Laptop</t>
  </si>
  <si>
    <t>Feb</t>
  </si>
  <si>
    <t>Mobile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</si>
  <si>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</si>
  <si>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</si>
  <si>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</si>
  <si>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</si>
  <si>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</si>
  <si>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</si>
  <si>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</si>
  <si>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</si>
  <si>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</si>
  <si>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</si>
  <si>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</si>
  <si>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0-10</t>
  </si>
  <si>
    <t>range</t>
  </si>
  <si>
    <t>20-30</t>
  </si>
  <si>
    <t>30-40</t>
  </si>
  <si>
    <t>40-50</t>
  </si>
  <si>
    <t>a1</t>
  </si>
  <si>
    <t>a2</t>
  </si>
  <si>
    <t>combine</t>
  </si>
  <si>
    <t>Column 1</t>
  </si>
  <si>
    <t>Column 2</t>
  </si>
  <si>
    <t>data analysis tool</t>
  </si>
  <si>
    <t>Emp_ID</t>
  </si>
  <si>
    <t>Gender</t>
  </si>
  <si>
    <t>Experience</t>
  </si>
  <si>
    <t>Training_Hours</t>
  </si>
  <si>
    <t>Performance_Score</t>
  </si>
  <si>
    <t>M</t>
  </si>
  <si>
    <t>F</t>
  </si>
  <si>
    <t>E109</t>
  </si>
  <si>
    <t>E110</t>
  </si>
  <si>
    <t>E111</t>
  </si>
  <si>
    <t>E112</t>
  </si>
  <si>
    <t>it_col</t>
  </si>
  <si>
    <t>hr_col</t>
  </si>
  <si>
    <t>sales_col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</si>
  <si>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</si>
  <si>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</si>
  <si>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</si>
  <si>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</si>
  <si>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</si>
  <si>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</si>
  <si>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</si>
  <si>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</si>
  <si>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</si>
  <si>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</si>
  <si>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</si>
  <si>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</si>
  <si>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</si>
  <si>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</si>
  <si>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</si>
  <si>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</si>
  <si>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</si>
  <si>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annova test</t>
  </si>
  <si>
    <t>two factor annova with replication</t>
  </si>
  <si>
    <t>Male</t>
  </si>
  <si>
    <t>Female</t>
  </si>
  <si>
    <t>Anova: Two-Factor With Replication</t>
  </si>
  <si>
    <t>Sample</t>
  </si>
  <si>
    <t>Columns</t>
  </si>
  <si>
    <t>Interaction</t>
  </si>
  <si>
    <t>Within</t>
  </si>
  <si>
    <t>two factor annova without  replication</t>
  </si>
  <si>
    <t>male</t>
  </si>
  <si>
    <t>female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</si>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</sst>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E+00"/>
    <numFmt numFmtId="165" formatCode="##,#0&quot;-&quot;#,##0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3" fillId="0" borderId="4" xfId="0" applyFont="1" applyFill="1" applyBorder="1" applyAlignment="1">
      <alignment horizontal="right"/>
    </xf>
  </cellXfs>
  <cellStyles count="1">
    <cellStyle name="Normal" xfId="0" builtinId="0"/>
  </cellStyles>
  <dxfs count="24">
    <dxf>
      <font>
        <color rgb="FFFF0000"/>
      </font>
    </dxf>
    <dxf>
      <font>
        <strike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ont>
        <strike val="0"/>
        <color theme="1"/>
      </font>
      <fill>
        <patternFill>
          <fgColor theme="4"/>
          <bgColor rgb="FF00B0F0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Sheet1!$F$90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Sheet1!$F$91:$F$102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30</c:v>
                </c:pt>
                <c:pt idx="3">
                  <c:v>30</c:v>
                </c:pt>
                <c:pt idx="4">
                  <c:v>40</c:v>
                </c:pt>
                <c:pt idx="5">
                  <c:v>40</c:v>
                </c:pt>
                <c:pt idx="6">
                  <c:v>25</c:v>
                </c:pt>
                <c:pt idx="7">
                  <c:v>25</c:v>
                </c:pt>
                <c:pt idx="8">
                  <c:v>50</c:v>
                </c:pt>
                <c:pt idx="9">
                  <c:v>30</c:v>
                </c:pt>
                <c:pt idx="10">
                  <c:v>40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9-49CA-AF2D-3301357BB8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4215183"/>
        <c:axId val="634214703"/>
      </c:barChart>
      <c:catAx>
        <c:axId val="63421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14703"/>
        <c:crosses val="autoZero"/>
        <c:auto val="1"/>
        <c:lblAlgn val="ctr"/>
        <c:lblOffset val="100"/>
        <c:noMultiLvlLbl val="0"/>
      </c:catAx>
      <c:valAx>
        <c:axId val="6342147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3421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Sheet1!$A$91:$A$102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Sheet1!$D$91:$D$102</c:f>
              <c:numCache>
                <c:formatCode>General</c:formatCode>
                <c:ptCount val="12"/>
                <c:pt idx="0">
                  <c:v>120000</c:v>
                </c:pt>
                <c:pt idx="1">
                  <c:v>140000</c:v>
                </c:pt>
                <c:pt idx="2">
                  <c:v>90000</c:v>
                </c:pt>
                <c:pt idx="3">
                  <c:v>110000</c:v>
                </c:pt>
                <c:pt idx="4">
                  <c:v>180000</c:v>
                </c:pt>
                <c:pt idx="5">
                  <c:v>200000</c:v>
                </c:pt>
                <c:pt idx="6">
                  <c:v>130000</c:v>
                </c:pt>
                <c:pt idx="7">
                  <c:v>150000</c:v>
                </c:pt>
                <c:pt idx="8">
                  <c:v>170000</c:v>
                </c:pt>
                <c:pt idx="9">
                  <c:v>125000</c:v>
                </c:pt>
                <c:pt idx="10">
                  <c:v>220000</c:v>
                </c:pt>
                <c:pt idx="11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C-469E-8FF1-BF7B87485FF6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Sheet1!$A$91:$A$102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Sheet1!$E$91:$E$102</c:f>
              <c:numCache>
                <c:formatCode>General</c:formatCode>
                <c:ptCount val="12"/>
                <c:pt idx="0">
                  <c:v>25000</c:v>
                </c:pt>
                <c:pt idx="1">
                  <c:v>30000</c:v>
                </c:pt>
                <c:pt idx="2">
                  <c:v>18000</c:v>
                </c:pt>
                <c:pt idx="3">
                  <c:v>22000</c:v>
                </c:pt>
                <c:pt idx="4">
                  <c:v>40000</c:v>
                </c:pt>
                <c:pt idx="5">
                  <c:v>50000</c:v>
                </c:pt>
                <c:pt idx="6">
                  <c:v>27000</c:v>
                </c:pt>
                <c:pt idx="7">
                  <c:v>32000</c:v>
                </c:pt>
                <c:pt idx="8">
                  <c:v>38000</c:v>
                </c:pt>
                <c:pt idx="9">
                  <c:v>24000</c:v>
                </c:pt>
                <c:pt idx="10">
                  <c:v>60000</c:v>
                </c:pt>
                <c:pt idx="1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C-469E-8FF1-BF7B8748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154399"/>
        <c:axId val="738149599"/>
      </c:areaChart>
      <c:catAx>
        <c:axId val="7381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49599"/>
        <c:crosses val="autoZero"/>
        <c:auto val="1"/>
        <c:lblAlgn val="ctr"/>
        <c:lblOffset val="100"/>
        <c:noMultiLvlLbl val="0"/>
      </c:catAx>
      <c:valAx>
        <c:axId val="7381495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54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[excel_2.xlsx]Sheet3!PivotTable27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Sheet3!$A$5:$A$6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Sheet3!$B$5:$B$6</c:f>
              <c:numCache>
                <c:formatCode>General</c:formatCode>
                <c:ptCount val="2"/>
                <c:pt idx="0">
                  <c:v>130000</c:v>
                </c:pt>
                <c:pt idx="1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6-42AE-A1E5-4FC7C96FCEE3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Sheet3!$A$5:$A$6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Sheet3!$C$5:$C$6</c:f>
              <c:numCache>
                <c:formatCode>General</c:formatCode>
                <c:ptCount val="2"/>
                <c:pt idx="0">
                  <c:v>90000</c:v>
                </c:pt>
                <c:pt idx="1">
                  <c:v>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6-42AE-A1E5-4FC7C96FCEE3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Sheet3!$A$5:$A$6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Sheet3!$D$5:$D$6</c:f>
              <c:numCache>
                <c:formatCode>General</c:formatCode>
                <c:ptCount val="2"/>
                <c:pt idx="0">
                  <c:v>400000</c:v>
                </c:pt>
                <c:pt idx="1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76-42AE-A1E5-4FC7C96FCEE3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Sheet3!$A$5:$A$6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Sheet3!$E$5:$E$6</c:f>
              <c:numCache>
                <c:formatCode>General</c:formatCode>
                <c:ptCount val="2"/>
                <c:pt idx="0">
                  <c:v>290000</c:v>
                </c:pt>
                <c:pt idx="1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76-42AE-A1E5-4FC7C96FCE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8122239"/>
        <c:axId val="738113599"/>
      </c:barChart>
      <c:catAx>
        <c:axId val="73812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113599"/>
        <c:crosses val="autoZero"/>
        <c:auto val="1"/>
        <c:lblAlgn val="ctr"/>
        <c:lblOffset val="100"/>
        <c:noMultiLvlLbl val="0"/>
      </c:catAx>
      <c:valAx>
        <c:axId val="7381135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812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Sheet1!$D$91:$D$102</c:f>
              <c:numCache>
                <c:formatCode>General</c:formatCode>
                <c:ptCount val="12"/>
                <c:pt idx="0">
                  <c:v>120000</c:v>
                </c:pt>
                <c:pt idx="1">
                  <c:v>140000</c:v>
                </c:pt>
                <c:pt idx="2">
                  <c:v>90000</c:v>
                </c:pt>
                <c:pt idx="3">
                  <c:v>110000</c:v>
                </c:pt>
                <c:pt idx="4">
                  <c:v>180000</c:v>
                </c:pt>
                <c:pt idx="5">
                  <c:v>200000</c:v>
                </c:pt>
                <c:pt idx="6">
                  <c:v>130000</c:v>
                </c:pt>
                <c:pt idx="7">
                  <c:v>150000</c:v>
                </c:pt>
                <c:pt idx="8">
                  <c:v>170000</c:v>
                </c:pt>
                <c:pt idx="9">
                  <c:v>125000</c:v>
                </c:pt>
                <c:pt idx="10">
                  <c:v>220000</c:v>
                </c:pt>
                <c:pt idx="11">
                  <c:v>190000</c:v>
                </c:pt>
              </c:numCache>
            </c:numRef>
          </c:xVal>
          <c:yVal>
            <c:numRef>
              <c:f>Sheet1!$E$91:$E$102</c:f>
              <c:numCache>
                <c:formatCode>General</c:formatCode>
                <c:ptCount val="12"/>
                <c:pt idx="0">
                  <c:v>25000</c:v>
                </c:pt>
                <c:pt idx="1">
                  <c:v>30000</c:v>
                </c:pt>
                <c:pt idx="2">
                  <c:v>18000</c:v>
                </c:pt>
                <c:pt idx="3">
                  <c:v>22000</c:v>
                </c:pt>
                <c:pt idx="4">
                  <c:v>40000</c:v>
                </c:pt>
                <c:pt idx="5">
                  <c:v>50000</c:v>
                </c:pt>
                <c:pt idx="6">
                  <c:v>27000</c:v>
                </c:pt>
                <c:pt idx="7">
                  <c:v>32000</c:v>
                </c:pt>
                <c:pt idx="8">
                  <c:v>38000</c:v>
                </c:pt>
                <c:pt idx="9">
                  <c:v>24000</c:v>
                </c:pt>
                <c:pt idx="10">
                  <c:v>60000</c:v>
                </c:pt>
                <c:pt idx="11">
                  <c:v>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A-464C-AA3E-B707ECF0A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184463"/>
        <c:axId val="634211823"/>
      </c:scatterChart>
      <c:valAx>
        <c:axId val="63418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11823"/>
        <c:crosses val="autoZero"/>
        <c:crossBetween val="midCat"/>
      </c:valAx>
      <c:valAx>
        <c:axId val="6342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8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monthly Employees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monthly Employees</a:t>
          </a:r>
        </a:p>
      </cx:txPr>
    </cx:title>
    <cx:plotArea>
      <cx:plotAreaRegion>
        <cx:series layoutId="funnel" uniqueId="{A051C9C5-DFD7-4C13-8CAB-614FB3990200}"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571500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E9F81-2E57-4F97-98BC-6D80A3871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12</xdr:col>
      <xdr:colOff>304800</xdr:colOff>
      <xdr:row>15</xdr:row>
      <xdr:rowOff>57150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CA2DF59-54D8-4F0F-B3AE-6476E57B0A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0"/>
              <a:ext cx="457200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333375</xdr:colOff>
      <xdr:row>0</xdr:row>
      <xdr:rowOff>9524</xdr:rowOff>
    </xdr:from>
    <xdr:to>
      <xdr:col>20</xdr:col>
      <xdr:colOff>28575</xdr:colOff>
      <xdr:row>15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A50E51-F29A-4BAC-9A7A-05D4F6672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104775</xdr:rowOff>
    </xdr:from>
    <xdr:to>
      <xdr:col>7</xdr:col>
      <xdr:colOff>304800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F4241C-954B-4394-B8F5-B9446301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333375</xdr:colOff>
      <xdr:row>15</xdr:row>
      <xdr:rowOff>85725</xdr:rowOff>
    </xdr:from>
    <xdr:to>
      <xdr:col>15</xdr:col>
      <xdr:colOff>28575</xdr:colOff>
      <xdr:row>29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690152-2BA0-40D4-B75E-36D7729DD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3691A32J0" refreshedDate="46177.684549189813" createdVersion="8" refreshedVersion="8" minRefreshableVersion="3" recordCount="12" xr:uid="{C21FD46C-5218-4538-BE1A-1817183F9567}">
  <cacheSource type="worksheet">
    <worksheetSource ref="A90:H102" sheet="Sheet1"/>
  </cacheSource>
  <cacheFields count="8">
    <cacheField name="Month" numFmtId="0">
      <sharedItems/>
    </cacheField>
    <cacheField name="Department" numFmtId="0">
      <sharedItems/>
    </cacheField>
    <cacheField name="Product" numFmtId="0">
      <sharedItems count="2">
        <s v="Laptop"/>
        <s v="Mobile"/>
      </sharedItems>
    </cacheField>
    <cacheField name="Sales" numFmtId="0">
      <sharedItems containsSemiMixedTypes="0" containsString="0" containsNumber="1" containsInteger="1" minValue="90000" maxValue="220000"/>
    </cacheField>
    <cacheField name="Profit" numFmtId="0">
      <sharedItems containsSemiMixedTypes="0" containsString="0" containsNumber="1" containsInteger="1" minValue="18000" maxValue="60000" count="12">
        <n v="25000"/>
        <n v="30000"/>
        <n v="18000"/>
        <n v="22000"/>
        <n v="40000"/>
        <n v="50000"/>
        <n v="27000"/>
        <n v="32000"/>
        <n v="38000"/>
        <n v="24000"/>
        <n v="60000"/>
        <n v="45000"/>
      </sharedItems>
    </cacheField>
    <cacheField name="Employees" numFmtId="0">
      <sharedItems containsSemiMixedTypes="0" containsString="0" containsNumber="1" containsInteger="1" minValue="25" maxValue="50" count="4">
        <n v="50"/>
        <n v="30"/>
        <n v="40"/>
        <n v="25"/>
      </sharedItems>
    </cacheField>
    <cacheField name="Ad Spend" numFmtId="0">
      <sharedItems containsSemiMixedTypes="0" containsString="0" containsNumber="1" containsInteger="1" minValue="8000" maxValue="20000"/>
    </cacheField>
    <cacheField name="Customer Count" numFmtId="0">
      <sharedItems containsSemiMixedTypes="0" containsString="0" containsNumber="1" containsInteger="1" minValue="18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Jan"/>
    <s v="IT"/>
    <x v="0"/>
    <n v="120000"/>
    <x v="0"/>
    <x v="0"/>
    <n v="10000"/>
    <n v="200"/>
  </r>
  <r>
    <s v="Feb"/>
    <s v="IT"/>
    <x v="1"/>
    <n v="140000"/>
    <x v="1"/>
    <x v="0"/>
    <n v="12000"/>
    <n v="220"/>
  </r>
  <r>
    <s v="Mar"/>
    <s v="HR"/>
    <x v="0"/>
    <n v="90000"/>
    <x v="2"/>
    <x v="1"/>
    <n v="8000"/>
    <n v="180"/>
  </r>
  <r>
    <s v="Apr"/>
    <s v="HR"/>
    <x v="1"/>
    <n v="110000"/>
    <x v="3"/>
    <x v="1"/>
    <n v="9000"/>
    <n v="190"/>
  </r>
  <r>
    <s v="May"/>
    <s v="Sales"/>
    <x v="0"/>
    <n v="180000"/>
    <x v="4"/>
    <x v="2"/>
    <n v="15000"/>
    <n v="300"/>
  </r>
  <r>
    <s v="Jun"/>
    <s v="Sales"/>
    <x v="1"/>
    <n v="200000"/>
    <x v="5"/>
    <x v="2"/>
    <n v="18000"/>
    <n v="350"/>
  </r>
  <r>
    <s v="Jul"/>
    <s v="Finance"/>
    <x v="0"/>
    <n v="130000"/>
    <x v="6"/>
    <x v="3"/>
    <n v="11000"/>
    <n v="210"/>
  </r>
  <r>
    <s v="Aug"/>
    <s v="Finance"/>
    <x v="1"/>
    <n v="150000"/>
    <x v="7"/>
    <x v="3"/>
    <n v="13000"/>
    <n v="240"/>
  </r>
  <r>
    <s v="Sep"/>
    <s v="IT"/>
    <x v="0"/>
    <n v="170000"/>
    <x v="8"/>
    <x v="0"/>
    <n v="16000"/>
    <n v="290"/>
  </r>
  <r>
    <s v="Oct"/>
    <s v="HR"/>
    <x v="1"/>
    <n v="125000"/>
    <x v="9"/>
    <x v="1"/>
    <n v="10000"/>
    <n v="200"/>
  </r>
  <r>
    <s v="Nov"/>
    <s v="Sales"/>
    <x v="0"/>
    <n v="220000"/>
    <x v="10"/>
    <x v="2"/>
    <n v="20000"/>
    <n v="400"/>
  </r>
  <r>
    <s v="Dec"/>
    <s v="Finance"/>
    <x v="1"/>
    <n v="190000"/>
    <x v="11"/>
    <x v="3"/>
    <n v="17000"/>
    <n v="3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35F7E-AB0E-4F91-BB2D-7ACA3FAD0756}" name="PivotTable2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E6" firstHeaderRow="1" firstDataRow="2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2"/>
        <item x="3"/>
        <item x="9"/>
        <item x="0"/>
        <item x="6"/>
        <item x="1"/>
        <item x="7"/>
        <item x="8"/>
        <item x="4"/>
        <item x="11"/>
        <item x="5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Sum of Sales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6E06-8105-474A-96AF-28B9222F75C4}" name="Table1" displayName="Table1" ref="A26:C31" totalsRowShown="0">
  <autoFilter ref="A26:C31" xr:uid="{A3D76E06-8105-474A-96AF-28B9222F75C4}"/>
  <tableColumns count="3">
    <tableColumn id="1" xr3:uid="{AECE2AF6-6184-4855-A501-AAA53F572103}" name="region"/>
    <tableColumn id="2" xr3:uid="{07C5F6B2-A219-4542-9A8E-D65DBD86753B}" name="color"/>
    <tableColumn id="3" xr3:uid="{31A390ED-7F5D-4D0F-BA34-F123E32ACD6C}" name="value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CA5DEC-7CFD-4D6F-AA59-06B24EAC12B5}" name="Table3" displayName="Table3" ref="A35:D41" totalsRowShown="0" headerRowCellStyle="Normal" dataCellStyle="Normal">
  <autoFilter ref="A35:D41" xr:uid="{0ACA5DEC-7CFD-4D6F-AA59-06B24EAC12B5}"/>
  <tableColumns count="4">
    <tableColumn id="1" xr3:uid="{5B58E6B3-8EB0-45C9-85CD-BCD51653C34C}" name="id" dataCellStyle="Normal"/>
    <tableColumn id="2" xr3:uid="{584AB817-CA5E-4C54-9282-1EB4865D8962}" name="name" dataCellStyle="Normal"/>
    <tableColumn id="3" xr3:uid="{B54DE8AE-D4BD-4923-946C-0DB95E6117EE}" name="branch" dataCellStyle="Normal"/>
    <tableColumn id="4" xr3:uid="{515A8381-5EC5-4E07-BBF5-FF1506A1EC90}" name="marks" dataCellStyle="Norm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63510C9-64FA-4B7F-9C14-C07CFB575E8C}" name="Table315" displayName="Table315" ref="B61:N67" totalsRowShown="0" headerRowCellStyle="Normal" dataCellStyle="Normal">
  <autoFilter ref="B61:N67" xr:uid="{A63510C9-64FA-4B7F-9C14-C07CFB575E8C}"/>
  <tableColumns count="13">
    <tableColumn id="1" xr3:uid="{7A51939E-0706-4EEE-B8D5-AACA260AB956}" name="id" dataCellStyle="Normal"/>
    <tableColumn id="2" xr3:uid="{A79BDCB8-79C4-4B8D-8441-2E149B0BA267}" name="name" dataCellStyle="Normal"/>
    <tableColumn id="3" xr3:uid="{D6AE817F-25DA-465F-938F-05A5C303CD80}" name="branch" dataCellStyle="Normal"/>
    <tableColumn id="4" xr3:uid="{738FF4F3-3F11-4080-9BB2-A1168C6E0BAD}" name="marks" dataCellStyle="Normal"/>
    <tableColumn id="5" xr3:uid="{28E0F62C-A258-4355-83A5-95E71AAC0D65}" name="grade" dataDxfId="23" dataCellStyle="Normal">
      <calculatedColumnFormula>IF(Table315[[#This Row],[marks]]&gt;90,"A+",IF(Table315[[#This Row],[marks]]&gt;80,"B+",IF(Table315[[#This Row],[marks]]&gt;70,"C +",IF(Table315[[#This Row],[marks]]&gt;60,"C","Fail"))))</calculatedColumnFormula>
    </tableColumn>
    <tableColumn id="6" xr3:uid="{E3E776C5-20A3-437F-B614-F2BED2A497A1}" name="and" dataDxfId="22" dataCellStyle="Normal">
      <calculatedColumnFormula>AND(Table315[[#This Row],[marks]]&gt;85,Table315[[#This Row],[marks]]&lt;=95)</calculatedColumnFormula>
    </tableColumn>
    <tableColumn id="7" xr3:uid="{BD94D124-C8AD-41C3-A545-1B3D9F025ED2}" name="or" dataDxfId="21" dataCellStyle="Normal">
      <calculatedColumnFormula>OR(Table315[[#This Row],[marks]]&gt;75,Table315[[#This Row],[marks]]&gt;90)</calculatedColumnFormula>
    </tableColumn>
    <tableColumn id="8" xr3:uid="{FF18C2D1-1B8E-45D4-8E78-EA5609DEF0F7}" name="not" dataDxfId="20" dataCellStyle="Normal">
      <calculatedColumnFormula>NOT(Table315[[#This Row],[marks]]&gt;90)</calculatedColumnFormula>
    </tableColumn>
    <tableColumn id="9" xr3:uid="{5283E11E-15DB-4421-9D71-E0CD9A0E6F6C}" name="xor" dataDxfId="19" dataCellStyle="Normal">
      <calculatedColumnFormula>_xlfn.XOR(Table315[[#This Row],[or]],Table315[[#This Row],[not]])</calculatedColumnFormula>
    </tableColumn>
    <tableColumn id="10" xr3:uid="{83C7373B-7750-4824-BDF1-D700842179F3}" name="isblank" dataDxfId="18" dataCellStyle="Normal">
      <calculatedColumnFormula>ISBLANK(Table315[[#This Row],[marks]])</calculatedColumnFormula>
    </tableColumn>
    <tableColumn id="11" xr3:uid="{474882F1-B777-4BCD-AC01-2241F8D01514}" name="isnumber" dataDxfId="17" dataCellStyle="Normal">
      <calculatedColumnFormula>ISNUMBER(Table315[[#This Row],[marks]])</calculatedColumnFormula>
    </tableColumn>
    <tableColumn id="12" xr3:uid="{E5C657BC-497C-4E96-AF6E-A502E5BB53AE}" name="iserror" dataDxfId="16" dataCellStyle="Normal">
      <calculatedColumnFormula>ISERROR(Table315[[#This Row],[marks]]/0)</calculatedColumnFormula>
    </tableColumn>
    <tableColumn id="13" xr3:uid="{A441B8CA-8BA1-4D1C-B6CF-A96DB6A0FFE2}" name="iferror" dataDxfId="15" dataCellStyle="Normal">
      <calculatedColumnFormula>IFERROR(Table315[[#This Row],[marks]]/0,"error")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6943-8BB1-4717-BE18-4680E7B08E47}">
  <dimension ref="A3:E6"/>
  <sheetViews>
    <sheetView workbookViewId="0">
      <selection activeCell="U20" sqref="U20"/>
    </sheetView>
  </sheetViews>
  <sheetFormatPr defaultRowHeight="15" x14ac:dyDescent="0.25"/>
  <cols>
    <col min="1" max="1" width="12.140625" bestFit="1" customWidth="1"/>
    <col min="2" max="2" width="13" bestFit="1" customWidth="1"/>
    <col min="3" max="5" width="7" bestFit="1" customWidth="1"/>
  </cols>
  <sheetData>
    <row r="3" spans="1:5" x14ac:dyDescent="0.25">
      <c r="A3" s="9" t="s">
        <v>184</v>
      </c>
      <c r="B3" s="9" t="s">
        <v>167</v>
      </c>
    </row>
    <row r="4" spans="1:5" x14ac:dyDescent="0.25">
      <c r="A4" s="9" t="s">
        <v>165</v>
      </c>
      <c r="B4">
        <v>25</v>
      </c>
      <c r="C4">
        <v>30</v>
      </c>
      <c r="D4">
        <v>40</v>
      </c>
      <c r="E4">
        <v>50</v>
      </c>
    </row>
    <row r="5" spans="1:5" x14ac:dyDescent="0.25">
      <c r="A5" t="s">
        <v>171</v>
      </c>
      <c r="B5">
        <v>130000</v>
      </c>
      <c r="C5">
        <v>90000</v>
      </c>
      <c r="D5">
        <v>400000</v>
      </c>
      <c r="E5">
        <v>290000</v>
      </c>
    </row>
    <row r="6" spans="1:5" x14ac:dyDescent="0.25">
      <c r="A6" t="s">
        <v>173</v>
      </c>
      <c r="B6">
        <v>340000</v>
      </c>
      <c r="C6">
        <v>235000</v>
      </c>
      <c r="D6">
        <v>200000</v>
      </c>
      <c r="E6">
        <v>140000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3D0C-7EEB-4123-9DB6-9D34952B0F64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s="14"/>
      <c r="B1" s="14" t="s">
        <v>193</v>
      </c>
      <c r="C1" s="14" t="s">
        <v>194</v>
      </c>
    </row>
    <row r="2" spans="1:3" x14ac:dyDescent="0.25">
      <c r="A2" s="15" t="s">
        <v>193</v>
      </c>
      <c r="B2" s="15">
        <v>1</v>
      </c>
      <c r="C2" s="15"/>
    </row>
    <row r="3" spans="1:3" ht="15.75" thickBot="1" x14ac:dyDescent="0.3">
      <c r="A3" s="13" t="s">
        <v>194</v>
      </c>
      <c r="B3" s="13">
        <v>0.98506929142421695</v>
      </c>
      <c r="C3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E475-241C-43F9-B610-52CDA103CB7D}">
  <dimension ref="A1:F3"/>
  <sheetViews>
    <sheetView workbookViewId="0">
      <selection activeCell="F1" sqref="F1"/>
    </sheetView>
  </sheetViews>
  <sheetFormatPr defaultRowHeight="15" x14ac:dyDescent="0.25"/>
  <cols>
    <col min="1" max="1" width="18.5703125" bestFit="1" customWidth="1"/>
    <col min="2" max="2" width="9.5703125" customWidth="1"/>
    <col min="3" max="3" width="15" bestFit="1" customWidth="1"/>
    <col min="4" max="4" width="18.5703125" bestFit="1" customWidth="1"/>
    <col min="5" max="5" width="9.42578125" customWidth="1"/>
    <col min="7" max="7" width="9.28515625" customWidth="1"/>
  </cols>
  <sheetData>
    <row r="1" spans="1:6" ht="71.25" customHeight="1" x14ac:dyDescent="0.25">
      <c r="A1" s="14"/>
      <c r="B1" s="14" t="s">
        <v>200</v>
      </c>
      <c r="C1" s="14" t="s">
        <v>199</v>
      </c>
      <c r="D1" s="14"/>
      <c r="E1" s="14" t="s">
        <v>200</v>
      </c>
      <c r="F1" s="14" t="s">
        <v>199</v>
      </c>
    </row>
    <row r="2" spans="1:6" ht="72.75" customHeight="1" x14ac:dyDescent="0.25">
      <c r="A2" s="15" t="s">
        <v>200</v>
      </c>
      <c r="B2" s="15">
        <v>1</v>
      </c>
      <c r="C2" s="15"/>
      <c r="D2" s="15" t="s">
        <v>200</v>
      </c>
      <c r="E2" s="15">
        <v>1</v>
      </c>
      <c r="F2" s="15"/>
    </row>
    <row r="3" spans="1:6" ht="92.25" customHeight="1" thickBot="1" x14ac:dyDescent="0.3">
      <c r="A3" s="13" t="s">
        <v>199</v>
      </c>
      <c r="B3" s="13">
        <v>0.90893802049430727</v>
      </c>
      <c r="C3" s="13">
        <v>1</v>
      </c>
      <c r="D3" s="13" t="s">
        <v>199</v>
      </c>
      <c r="E3" s="13">
        <v>1.0910619795056899</v>
      </c>
      <c r="F3" s="13">
        <v>1.1821239590113899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052A-EF93-47C8-A2A3-A646F9B44B22}">
  <dimension ref="A1:G15"/>
  <sheetViews>
    <sheetView workbookViewId="0">
      <selection activeCell="J7" sqref="J7"/>
    </sheetView>
  </sheetViews>
  <sheetFormatPr defaultRowHeight="15" x14ac:dyDescent="0.25"/>
  <cols>
    <col min="1" max="1" width="19.140625" bestFit="1" customWidth="1"/>
    <col min="3" max="3" width="5.42578125" bestFit="1" customWidth="1"/>
    <col min="4" max="4" width="12" bestFit="1" customWidth="1"/>
  </cols>
  <sheetData>
    <row r="1" spans="1:7" x14ac:dyDescent="0.25">
      <c r="A1" t="s">
        <v>210</v>
      </c>
    </row>
    <row r="3" spans="1:7" ht="15.75" thickBot="1" x14ac:dyDescent="0.3">
      <c r="A3" t="s">
        <v>211</v>
      </c>
    </row>
    <row r="4" spans="1:7" x14ac:dyDescent="0.25">
      <c r="A4" s="14" t="s">
        <v>212</v>
      </c>
      <c r="B4" s="14" t="s">
        <v>213</v>
      </c>
      <c r="C4" s="14" t="s">
        <v>214</v>
      </c>
      <c r="D4" s="14" t="s">
        <v>215</v>
      </c>
      <c r="E4" s="14" t="s">
        <v>216</v>
      </c>
    </row>
    <row r="5" spans="1:7" x14ac:dyDescent="0.25">
      <c r="A5" s="15" t="s">
        <v>207</v>
      </c>
      <c r="B5" s="15">
        <v>3</v>
      </c>
      <c r="C5" s="15">
        <v>217</v>
      </c>
      <c r="D5" s="15">
        <v>72.333333333333329</v>
      </c>
      <c r="E5" s="15">
        <v>76.333333333333343</v>
      </c>
    </row>
    <row r="6" spans="1:7" x14ac:dyDescent="0.25">
      <c r="A6" s="15" t="s">
        <v>208</v>
      </c>
      <c r="B6" s="15">
        <v>3</v>
      </c>
      <c r="C6" s="15">
        <v>217</v>
      </c>
      <c r="D6" s="15">
        <v>72.333333333333329</v>
      </c>
      <c r="E6" s="15">
        <v>156.33333333333303</v>
      </c>
    </row>
    <row r="7" spans="1:7" ht="15.75" thickBot="1" x14ac:dyDescent="0.3">
      <c r="A7" s="13" t="s">
        <v>209</v>
      </c>
      <c r="B7" s="13">
        <v>3</v>
      </c>
      <c r="C7" s="13">
        <v>263</v>
      </c>
      <c r="D7" s="13">
        <v>87.666666666666671</v>
      </c>
      <c r="E7" s="13">
        <v>56.333333333333329</v>
      </c>
    </row>
    <row r="10" spans="1:7" ht="15.75" thickBot="1" x14ac:dyDescent="0.3">
      <c r="A10" t="s">
        <v>217</v>
      </c>
    </row>
    <row r="11" spans="1:7" x14ac:dyDescent="0.25">
      <c r="A11" s="14" t="s">
        <v>218</v>
      </c>
      <c r="B11" s="14" t="s">
        <v>219</v>
      </c>
      <c r="C11" s="14" t="s">
        <v>220</v>
      </c>
      <c r="D11" s="14" t="s">
        <v>221</v>
      </c>
      <c r="E11" s="14" t="s">
        <v>202</v>
      </c>
      <c r="F11" s="14" t="s">
        <v>222</v>
      </c>
      <c r="G11" s="14" t="s">
        <v>223</v>
      </c>
    </row>
    <row r="12" spans="1:7" x14ac:dyDescent="0.25">
      <c r="A12" s="15" t="s">
        <v>224</v>
      </c>
      <c r="B12" s="15">
        <v>470.22222222222217</v>
      </c>
      <c r="C12" s="15">
        <v>2</v>
      </c>
      <c r="D12" s="15">
        <v>235.11111111111109</v>
      </c>
      <c r="E12" s="15">
        <v>2.4405997693194923</v>
      </c>
      <c r="F12" s="15">
        <v>0.16765767059267175</v>
      </c>
      <c r="G12" s="15">
        <v>5.1432528497847176</v>
      </c>
    </row>
    <row r="13" spans="1:7" x14ac:dyDescent="0.25">
      <c r="A13" s="15" t="s">
        <v>225</v>
      </c>
      <c r="B13" s="15">
        <v>578</v>
      </c>
      <c r="C13" s="15">
        <v>6</v>
      </c>
      <c r="D13" s="15">
        <v>96.333333333333329</v>
      </c>
      <c r="E13" s="15"/>
      <c r="F13" s="15"/>
      <c r="G13" s="15"/>
    </row>
    <row r="14" spans="1:7" x14ac:dyDescent="0.25">
      <c r="A14" s="15"/>
      <c r="B14" s="15"/>
      <c r="C14" s="15"/>
      <c r="D14" s="15"/>
      <c r="E14" s="15"/>
      <c r="F14" s="15"/>
      <c r="G14" s="15"/>
    </row>
    <row r="15" spans="1:7" ht="15.75" thickBot="1" x14ac:dyDescent="0.3">
      <c r="A15" s="13" t="s">
        <v>226</v>
      </c>
      <c r="B15" s="13">
        <v>1048.2222222222222</v>
      </c>
      <c r="C15" s="13">
        <v>8</v>
      </c>
      <c r="D15" s="13"/>
      <c r="E15" s="13"/>
      <c r="F15" s="13"/>
      <c r="G1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68F4-7158-4666-B342-69A260E87E2D}">
  <dimension ref="A1:H24"/>
  <sheetViews>
    <sheetView workbookViewId="0">
      <selection activeCell="N20" sqref="N20"/>
    </sheetView>
  </sheetViews>
  <sheetFormatPr defaultRowHeight="15" x14ac:dyDescent="0.25"/>
  <cols>
    <col min="1" max="1" width="33.28515625" bestFit="1" customWidth="1"/>
    <col min="2" max="8" width="12" bestFit="1" customWidth="1"/>
  </cols>
  <sheetData>
    <row r="1" spans="1:8" x14ac:dyDescent="0.25">
      <c r="A1" t="s">
        <v>231</v>
      </c>
    </row>
    <row r="3" spans="1:8" x14ac:dyDescent="0.25">
      <c r="A3" t="s">
        <v>211</v>
      </c>
      <c r="B3" t="s">
        <v>229</v>
      </c>
      <c r="C3" t="s">
        <v>229</v>
      </c>
      <c r="D3" t="s">
        <v>229</v>
      </c>
      <c r="E3" t="s">
        <v>230</v>
      </c>
      <c r="F3" t="s">
        <v>230</v>
      </c>
      <c r="G3" t="s">
        <v>230</v>
      </c>
      <c r="H3" t="s">
        <v>226</v>
      </c>
    </row>
    <row r="4" spans="1:8" ht="15.75" thickBot="1" x14ac:dyDescent="0.3">
      <c r="A4" s="16" t="s">
        <v>99</v>
      </c>
      <c r="B4" s="16"/>
      <c r="C4" s="16"/>
      <c r="D4" s="16"/>
      <c r="E4" s="16"/>
      <c r="F4" s="16"/>
      <c r="G4" s="16"/>
      <c r="H4" s="16"/>
    </row>
    <row r="5" spans="1:8" x14ac:dyDescent="0.25">
      <c r="A5" s="15" t="s">
        <v>213</v>
      </c>
      <c r="B5" s="15">
        <v>3</v>
      </c>
      <c r="C5" s="15">
        <v>3</v>
      </c>
      <c r="D5" s="15">
        <v>3</v>
      </c>
      <c r="E5" s="15">
        <v>3</v>
      </c>
      <c r="F5" s="15">
        <v>3</v>
      </c>
      <c r="G5" s="15">
        <v>3</v>
      </c>
      <c r="H5" s="15">
        <v>18</v>
      </c>
    </row>
    <row r="6" spans="1:8" x14ac:dyDescent="0.25">
      <c r="A6" s="15" t="s">
        <v>214</v>
      </c>
      <c r="B6" s="15">
        <v>215</v>
      </c>
      <c r="C6" s="15">
        <v>230</v>
      </c>
      <c r="D6" s="15">
        <v>243</v>
      </c>
      <c r="E6" s="15">
        <v>242</v>
      </c>
      <c r="F6" s="15">
        <v>252</v>
      </c>
      <c r="G6" s="15">
        <v>262</v>
      </c>
      <c r="H6" s="15">
        <v>1444</v>
      </c>
    </row>
    <row r="7" spans="1:8" x14ac:dyDescent="0.25">
      <c r="A7" s="15" t="s">
        <v>215</v>
      </c>
      <c r="B7" s="15">
        <v>71.666666666666671</v>
      </c>
      <c r="C7" s="15">
        <v>76.666666666666671</v>
      </c>
      <c r="D7" s="15">
        <v>81</v>
      </c>
      <c r="E7" s="15">
        <v>80.666666666666671</v>
      </c>
      <c r="F7" s="15">
        <v>84</v>
      </c>
      <c r="G7" s="15">
        <v>87.333333333333329</v>
      </c>
      <c r="H7" s="15">
        <v>80.222222222222229</v>
      </c>
    </row>
    <row r="8" spans="1:8" x14ac:dyDescent="0.25">
      <c r="A8" s="15" t="s">
        <v>216</v>
      </c>
      <c r="B8" s="15">
        <v>158.33333333333303</v>
      </c>
      <c r="C8" s="15">
        <v>158.33333333333394</v>
      </c>
      <c r="D8" s="15">
        <v>183</v>
      </c>
      <c r="E8" s="15">
        <v>65.333333333333343</v>
      </c>
      <c r="F8" s="15">
        <v>73</v>
      </c>
      <c r="G8" s="15">
        <v>81.333333333333343</v>
      </c>
      <c r="H8" s="15">
        <v>111.35947712418292</v>
      </c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ht="15.75" thickBot="1" x14ac:dyDescent="0.3">
      <c r="A10" s="16" t="s">
        <v>226</v>
      </c>
      <c r="B10" s="16"/>
      <c r="C10" s="16"/>
    </row>
    <row r="11" spans="1:8" x14ac:dyDescent="0.25">
      <c r="A11" s="15" t="s">
        <v>213</v>
      </c>
      <c r="B11" s="15">
        <v>3</v>
      </c>
      <c r="C11" s="15">
        <v>3</v>
      </c>
      <c r="D11">
        <v>3</v>
      </c>
      <c r="E11">
        <v>3</v>
      </c>
      <c r="F11">
        <v>3</v>
      </c>
      <c r="G11">
        <v>3</v>
      </c>
    </row>
    <row r="12" spans="1:8" x14ac:dyDescent="0.25">
      <c r="A12" s="15" t="s">
        <v>214</v>
      </c>
      <c r="B12" s="15">
        <v>215</v>
      </c>
      <c r="C12" s="15">
        <v>230</v>
      </c>
      <c r="D12">
        <v>243</v>
      </c>
      <c r="E12">
        <v>242</v>
      </c>
      <c r="F12">
        <v>252</v>
      </c>
      <c r="G12">
        <v>262</v>
      </c>
    </row>
    <row r="13" spans="1:8" x14ac:dyDescent="0.25">
      <c r="A13" s="15" t="s">
        <v>215</v>
      </c>
      <c r="B13" s="15">
        <v>71.666666666666671</v>
      </c>
      <c r="C13" s="15">
        <v>76.666666666666671</v>
      </c>
      <c r="D13">
        <v>81</v>
      </c>
      <c r="E13">
        <v>80.666666666666671</v>
      </c>
      <c r="F13">
        <v>84</v>
      </c>
      <c r="G13">
        <v>87.333333333333329</v>
      </c>
    </row>
    <row r="14" spans="1:8" x14ac:dyDescent="0.25">
      <c r="A14" s="15" t="s">
        <v>216</v>
      </c>
      <c r="B14" s="15">
        <v>158.33333333333303</v>
      </c>
      <c r="C14" s="15">
        <v>158.33333333333394</v>
      </c>
      <c r="D14">
        <v>183</v>
      </c>
      <c r="E14">
        <v>65.333333333333343</v>
      </c>
      <c r="F14">
        <v>73</v>
      </c>
      <c r="G14">
        <v>81.333333333333343</v>
      </c>
    </row>
    <row r="15" spans="1:8" x14ac:dyDescent="0.25">
      <c r="A15" s="15"/>
      <c r="B15" s="15"/>
      <c r="C15" s="15"/>
    </row>
    <row r="17" spans="1:7" ht="15.75" thickBot="1" x14ac:dyDescent="0.3">
      <c r="A17" t="s">
        <v>217</v>
      </c>
    </row>
    <row r="18" spans="1:7" x14ac:dyDescent="0.25">
      <c r="A18" s="14" t="s">
        <v>218</v>
      </c>
      <c r="B18" s="14" t="s">
        <v>219</v>
      </c>
      <c r="C18" s="14" t="s">
        <v>220</v>
      </c>
      <c r="D18" s="14" t="s">
        <v>221</v>
      </c>
      <c r="E18" s="14" t="s">
        <v>202</v>
      </c>
      <c r="F18" s="14" t="s">
        <v>222</v>
      </c>
      <c r="G18" s="14" t="s">
        <v>223</v>
      </c>
    </row>
    <row r="19" spans="1:7" x14ac:dyDescent="0.25">
      <c r="A19" s="15" t="s">
        <v>232</v>
      </c>
      <c r="B19" s="15">
        <v>0</v>
      </c>
      <c r="C19" s="15">
        <v>0</v>
      </c>
      <c r="D19" s="15">
        <v>65535</v>
      </c>
      <c r="E19" s="15">
        <v>65535</v>
      </c>
      <c r="F19" s="15" t="e">
        <v>#NUM!</v>
      </c>
      <c r="G19" s="15" t="e">
        <v>#NUM!</v>
      </c>
    </row>
    <row r="20" spans="1:7" x14ac:dyDescent="0.25">
      <c r="A20" s="15" t="s">
        <v>233</v>
      </c>
      <c r="B20" s="15">
        <v>454.44444444444434</v>
      </c>
      <c r="C20" s="15">
        <v>5</v>
      </c>
      <c r="D20" s="15">
        <v>90.888888888888872</v>
      </c>
      <c r="E20" s="15">
        <v>0.75810936051899891</v>
      </c>
      <c r="F20" s="15">
        <v>0.59655744739278571</v>
      </c>
      <c r="G20" s="15">
        <v>3.1058752390841229</v>
      </c>
    </row>
    <row r="21" spans="1:7" x14ac:dyDescent="0.25">
      <c r="A21" s="15" t="s">
        <v>234</v>
      </c>
      <c r="B21" s="15">
        <v>0</v>
      </c>
      <c r="C21" s="15">
        <v>0</v>
      </c>
      <c r="D21" s="15">
        <v>65535</v>
      </c>
      <c r="E21" s="15">
        <v>65535</v>
      </c>
      <c r="F21" s="15" t="e">
        <v>#NUM!</v>
      </c>
      <c r="G21" s="15" t="e">
        <v>#NUM!</v>
      </c>
    </row>
    <row r="22" spans="1:7" x14ac:dyDescent="0.25">
      <c r="A22" s="15" t="s">
        <v>235</v>
      </c>
      <c r="B22" s="15">
        <v>1438.6666666666667</v>
      </c>
      <c r="C22" s="15">
        <v>12</v>
      </c>
      <c r="D22" s="15">
        <v>119.8888888888889</v>
      </c>
      <c r="E22" s="15"/>
      <c r="F22" s="15"/>
      <c r="G22" s="15"/>
    </row>
    <row r="23" spans="1:7" x14ac:dyDescent="0.25">
      <c r="A23" s="15"/>
      <c r="B23" s="15"/>
      <c r="C23" s="15"/>
      <c r="D23" s="15"/>
      <c r="E23" s="15"/>
      <c r="F23" s="15"/>
      <c r="G23" s="15"/>
    </row>
    <row r="24" spans="1:7" ht="15.75" thickBot="1" x14ac:dyDescent="0.3">
      <c r="A24" s="13" t="s">
        <v>226</v>
      </c>
      <c r="B24" s="13">
        <v>1893.1111111111111</v>
      </c>
      <c r="C24" s="13">
        <v>17</v>
      </c>
      <c r="D24" s="13"/>
      <c r="E24" s="13"/>
      <c r="F24" s="13"/>
      <c r="G24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75F3-8C61-4620-B325-209EDF145F7A}">
  <dimension ref="A1:G36"/>
  <sheetViews>
    <sheetView workbookViewId="0">
      <selection activeCell="H17" sqref="H17"/>
    </sheetView>
  </sheetViews>
  <sheetFormatPr defaultRowHeight="15" x14ac:dyDescent="0.25"/>
  <cols>
    <col min="1" max="1" width="33.28515625" bestFit="1" customWidth="1"/>
    <col min="2" max="2" width="12" bestFit="1" customWidth="1"/>
    <col min="3" max="3" width="7.5703125" bestFit="1" customWidth="1"/>
    <col min="4" max="7" width="12" bestFit="1" customWidth="1"/>
  </cols>
  <sheetData>
    <row r="1" spans="1:4" x14ac:dyDescent="0.25">
      <c r="A1" t="s">
        <v>231</v>
      </c>
    </row>
    <row r="3" spans="1:4" x14ac:dyDescent="0.25">
      <c r="A3" t="s">
        <v>211</v>
      </c>
      <c r="B3" t="s">
        <v>229</v>
      </c>
      <c r="C3" t="s">
        <v>230</v>
      </c>
      <c r="D3" t="s">
        <v>226</v>
      </c>
    </row>
    <row r="4" spans="1:4" ht="15.75" thickBot="1" x14ac:dyDescent="0.3">
      <c r="A4" s="16" t="s">
        <v>99</v>
      </c>
      <c r="B4" s="16"/>
      <c r="C4" s="16"/>
      <c r="D4" s="16"/>
    </row>
    <row r="5" spans="1:4" x14ac:dyDescent="0.25">
      <c r="A5" s="15" t="s">
        <v>213</v>
      </c>
      <c r="B5" s="15">
        <v>3</v>
      </c>
      <c r="C5" s="15">
        <v>3</v>
      </c>
      <c r="D5" s="15">
        <v>6</v>
      </c>
    </row>
    <row r="6" spans="1:4" x14ac:dyDescent="0.25">
      <c r="A6" s="15" t="s">
        <v>214</v>
      </c>
      <c r="B6" s="15">
        <v>225</v>
      </c>
      <c r="C6" s="15">
        <v>255</v>
      </c>
      <c r="D6" s="15">
        <v>480</v>
      </c>
    </row>
    <row r="7" spans="1:4" x14ac:dyDescent="0.25">
      <c r="A7" s="15" t="s">
        <v>215</v>
      </c>
      <c r="B7" s="15">
        <v>75</v>
      </c>
      <c r="C7" s="15">
        <v>85</v>
      </c>
      <c r="D7" s="15">
        <v>80</v>
      </c>
    </row>
    <row r="8" spans="1:4" x14ac:dyDescent="0.25">
      <c r="A8" s="15" t="s">
        <v>216</v>
      </c>
      <c r="B8" s="15">
        <v>25</v>
      </c>
      <c r="C8" s="15">
        <v>9</v>
      </c>
      <c r="D8" s="15">
        <v>43.6</v>
      </c>
    </row>
    <row r="9" spans="1:4" x14ac:dyDescent="0.25">
      <c r="A9" s="15"/>
      <c r="B9" s="15"/>
      <c r="C9" s="15"/>
      <c r="D9" s="15"/>
    </row>
    <row r="10" spans="1:4" ht="15.75" thickBot="1" x14ac:dyDescent="0.3">
      <c r="A10" s="16" t="s">
        <v>103</v>
      </c>
      <c r="B10" s="16"/>
      <c r="C10" s="16"/>
      <c r="D10" s="16"/>
    </row>
    <row r="11" spans="1:4" x14ac:dyDescent="0.25">
      <c r="A11" s="15" t="s">
        <v>213</v>
      </c>
      <c r="B11" s="15">
        <v>3</v>
      </c>
      <c r="C11" s="15">
        <v>3</v>
      </c>
      <c r="D11" s="15">
        <v>6</v>
      </c>
    </row>
    <row r="12" spans="1:4" x14ac:dyDescent="0.25">
      <c r="A12" s="15" t="s">
        <v>214</v>
      </c>
      <c r="B12" s="15">
        <v>193</v>
      </c>
      <c r="C12" s="15">
        <v>225</v>
      </c>
      <c r="D12" s="15">
        <v>418</v>
      </c>
    </row>
    <row r="13" spans="1:4" x14ac:dyDescent="0.25">
      <c r="A13" s="15" t="s">
        <v>215</v>
      </c>
      <c r="B13" s="15">
        <v>64.333333333333329</v>
      </c>
      <c r="C13" s="15">
        <v>75</v>
      </c>
      <c r="D13" s="15">
        <v>69.666666666666671</v>
      </c>
    </row>
    <row r="14" spans="1:4" x14ac:dyDescent="0.25">
      <c r="A14" s="15" t="s">
        <v>216</v>
      </c>
      <c r="B14" s="15">
        <v>16.333333333333332</v>
      </c>
      <c r="C14" s="15">
        <v>9</v>
      </c>
      <c r="D14" s="15">
        <v>44.266666666666673</v>
      </c>
    </row>
    <row r="15" spans="1:4" x14ac:dyDescent="0.25">
      <c r="A15" s="15"/>
      <c r="B15" s="15"/>
      <c r="C15" s="15"/>
      <c r="D15" s="15"/>
    </row>
    <row r="16" spans="1:4" ht="15.75" thickBot="1" x14ac:dyDescent="0.3">
      <c r="A16" s="16" t="s">
        <v>113</v>
      </c>
      <c r="B16" s="16"/>
      <c r="C16" s="16"/>
      <c r="D16" s="16"/>
    </row>
    <row r="17" spans="1:7" x14ac:dyDescent="0.25">
      <c r="A17" s="15" t="s">
        <v>213</v>
      </c>
      <c r="B17" s="15">
        <v>3</v>
      </c>
      <c r="C17" s="15">
        <v>3</v>
      </c>
      <c r="D17" s="15">
        <v>6</v>
      </c>
    </row>
    <row r="18" spans="1:7" x14ac:dyDescent="0.25">
      <c r="A18" s="15" t="s">
        <v>214</v>
      </c>
      <c r="B18" s="15">
        <v>270</v>
      </c>
      <c r="C18" s="15">
        <v>276</v>
      </c>
      <c r="D18" s="15">
        <v>546</v>
      </c>
    </row>
    <row r="19" spans="1:7" x14ac:dyDescent="0.25">
      <c r="A19" s="15" t="s">
        <v>215</v>
      </c>
      <c r="B19" s="15">
        <v>90</v>
      </c>
      <c r="C19" s="15">
        <v>92</v>
      </c>
      <c r="D19" s="15">
        <v>91</v>
      </c>
    </row>
    <row r="20" spans="1:7" x14ac:dyDescent="0.25">
      <c r="A20" s="15" t="s">
        <v>216</v>
      </c>
      <c r="B20" s="15">
        <v>25</v>
      </c>
      <c r="C20" s="15">
        <v>16</v>
      </c>
      <c r="D20" s="15">
        <v>17.600000000000001</v>
      </c>
    </row>
    <row r="21" spans="1:7" x14ac:dyDescent="0.25">
      <c r="A21" s="15"/>
      <c r="B21" s="15"/>
      <c r="C21" s="15"/>
      <c r="D21" s="15"/>
    </row>
    <row r="22" spans="1:7" ht="15.75" thickBot="1" x14ac:dyDescent="0.3">
      <c r="A22" s="16" t="s">
        <v>226</v>
      </c>
      <c r="B22" s="16"/>
      <c r="C22" s="16"/>
      <c r="D22" s="16"/>
      <c r="E22" s="16"/>
    </row>
    <row r="23" spans="1:7" x14ac:dyDescent="0.25">
      <c r="A23" s="15" t="s">
        <v>213</v>
      </c>
      <c r="B23" s="15">
        <v>9</v>
      </c>
      <c r="C23" s="15">
        <v>9</v>
      </c>
      <c r="D23" s="15"/>
      <c r="E23" s="15"/>
    </row>
    <row r="24" spans="1:7" x14ac:dyDescent="0.25">
      <c r="A24" s="15" t="s">
        <v>214</v>
      </c>
      <c r="B24" s="15">
        <v>688</v>
      </c>
      <c r="C24" s="15">
        <v>756</v>
      </c>
      <c r="D24" s="15"/>
      <c r="E24" s="15"/>
    </row>
    <row r="25" spans="1:7" x14ac:dyDescent="0.25">
      <c r="A25" s="15" t="s">
        <v>215</v>
      </c>
      <c r="B25" s="15">
        <v>76.444444444444443</v>
      </c>
      <c r="C25" s="15">
        <v>84</v>
      </c>
      <c r="D25" s="15"/>
      <c r="E25" s="15"/>
    </row>
    <row r="26" spans="1:7" x14ac:dyDescent="0.25">
      <c r="A26" s="15" t="s">
        <v>216</v>
      </c>
      <c r="B26" s="15">
        <v>141.27777777777737</v>
      </c>
      <c r="C26" s="15">
        <v>63.25</v>
      </c>
      <c r="D26" s="15"/>
      <c r="E26" s="15"/>
    </row>
    <row r="27" spans="1:7" x14ac:dyDescent="0.25">
      <c r="A27" s="15"/>
      <c r="B27" s="15"/>
      <c r="C27" s="15"/>
      <c r="D27" s="15"/>
      <c r="E27" s="15"/>
    </row>
    <row r="29" spans="1:7" ht="15.75" thickBot="1" x14ac:dyDescent="0.3">
      <c r="A29" t="s">
        <v>217</v>
      </c>
    </row>
    <row r="30" spans="1:7" x14ac:dyDescent="0.25">
      <c r="A30" s="14" t="s">
        <v>218</v>
      </c>
      <c r="B30" s="14" t="s">
        <v>219</v>
      </c>
      <c r="C30" s="14" t="s">
        <v>220</v>
      </c>
      <c r="D30" s="14" t="s">
        <v>221</v>
      </c>
      <c r="E30" s="14" t="s">
        <v>202</v>
      </c>
      <c r="F30" s="14" t="s">
        <v>222</v>
      </c>
      <c r="G30" s="14" t="s">
        <v>223</v>
      </c>
    </row>
    <row r="31" spans="1:7" x14ac:dyDescent="0.25">
      <c r="A31" s="15" t="s">
        <v>232</v>
      </c>
      <c r="B31" s="15">
        <v>1365.7777777777778</v>
      </c>
      <c r="C31" s="15">
        <v>2</v>
      </c>
      <c r="D31" s="15">
        <v>682.88888888888891</v>
      </c>
      <c r="E31" s="15">
        <v>40.837209302325583</v>
      </c>
      <c r="F31" s="15">
        <v>4.4193809416175249E-6</v>
      </c>
      <c r="G31" s="15">
        <v>3.8852938346523942</v>
      </c>
    </row>
    <row r="32" spans="1:7" x14ac:dyDescent="0.25">
      <c r="A32" s="15" t="s">
        <v>233</v>
      </c>
      <c r="B32" s="15">
        <v>256.88888888888914</v>
      </c>
      <c r="C32" s="15">
        <v>1</v>
      </c>
      <c r="D32" s="15">
        <v>256.88888888888914</v>
      </c>
      <c r="E32" s="15">
        <v>15.362126245847191</v>
      </c>
      <c r="F32" s="15">
        <v>2.0371260255557001E-3</v>
      </c>
      <c r="G32" s="15">
        <v>4.7472253467225149</v>
      </c>
    </row>
    <row r="33" spans="1:7" x14ac:dyDescent="0.25">
      <c r="A33" s="15" t="s">
        <v>234</v>
      </c>
      <c r="B33" s="15">
        <v>69.777777777777686</v>
      </c>
      <c r="C33" s="15">
        <v>2</v>
      </c>
      <c r="D33" s="15">
        <v>34.888888888888843</v>
      </c>
      <c r="E33" s="15">
        <v>2.0863787375415255</v>
      </c>
      <c r="F33" s="15">
        <v>0.16687183147506146</v>
      </c>
      <c r="G33" s="15">
        <v>3.8852938346523942</v>
      </c>
    </row>
    <row r="34" spans="1:7" x14ac:dyDescent="0.25">
      <c r="A34" s="15" t="s">
        <v>235</v>
      </c>
      <c r="B34" s="15">
        <v>200.66666666666666</v>
      </c>
      <c r="C34" s="15">
        <v>12</v>
      </c>
      <c r="D34" s="15">
        <v>16.722222222222221</v>
      </c>
      <c r="E34" s="15"/>
      <c r="F34" s="15"/>
      <c r="G34" s="15"/>
    </row>
    <row r="35" spans="1:7" x14ac:dyDescent="0.25">
      <c r="A35" s="15"/>
      <c r="B35" s="15"/>
      <c r="C35" s="15"/>
      <c r="D35" s="15"/>
      <c r="E35" s="15"/>
      <c r="F35" s="15"/>
      <c r="G35" s="15"/>
    </row>
    <row r="36" spans="1:7" ht="15.75" thickBot="1" x14ac:dyDescent="0.3">
      <c r="A36" s="13" t="s">
        <v>226</v>
      </c>
      <c r="B36" s="13">
        <v>1893.1111111111113</v>
      </c>
      <c r="C36" s="13">
        <v>17</v>
      </c>
      <c r="D36" s="13"/>
      <c r="E36" s="13"/>
      <c r="F36" s="13"/>
      <c r="G3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6714-9207-4133-A309-85F309069AEC}">
  <dimension ref="A1:G18"/>
  <sheetViews>
    <sheetView workbookViewId="0">
      <selection activeCell="K29" sqref="K29"/>
    </sheetView>
  </sheetViews>
  <sheetFormatPr defaultRowHeight="15" x14ac:dyDescent="0.25"/>
  <cols>
    <col min="1" max="1" width="36.42578125" bestFit="1" customWidth="1"/>
    <col min="2" max="2" width="12" bestFit="1" customWidth="1"/>
    <col min="3" max="3" width="5.42578125" bestFit="1" customWidth="1"/>
    <col min="5" max="7" width="12" bestFit="1" customWidth="1"/>
  </cols>
  <sheetData>
    <row r="1" spans="1:7" x14ac:dyDescent="0.25">
      <c r="A1" t="s">
        <v>239</v>
      </c>
    </row>
    <row r="2" spans="1:7" ht="15.75" thickBot="1" x14ac:dyDescent="0.3"/>
    <row r="3" spans="1:7" x14ac:dyDescent="0.25">
      <c r="A3" s="14" t="s">
        <v>211</v>
      </c>
      <c r="B3" s="14" t="s">
        <v>213</v>
      </c>
      <c r="C3" s="14" t="s">
        <v>214</v>
      </c>
      <c r="D3" s="14" t="s">
        <v>215</v>
      </c>
      <c r="E3" s="14" t="s">
        <v>216</v>
      </c>
    </row>
    <row r="4" spans="1:7" x14ac:dyDescent="0.25">
      <c r="A4" s="15" t="s">
        <v>99</v>
      </c>
      <c r="B4" s="15">
        <v>2</v>
      </c>
      <c r="C4" s="15">
        <v>480</v>
      </c>
      <c r="D4" s="15">
        <v>240</v>
      </c>
      <c r="E4" s="15">
        <v>450</v>
      </c>
    </row>
    <row r="5" spans="1:7" x14ac:dyDescent="0.25">
      <c r="A5" s="15" t="s">
        <v>103</v>
      </c>
      <c r="B5" s="15">
        <v>2</v>
      </c>
      <c r="C5" s="15">
        <v>418</v>
      </c>
      <c r="D5" s="15">
        <v>209</v>
      </c>
      <c r="E5" s="15">
        <v>512</v>
      </c>
    </row>
    <row r="6" spans="1:7" x14ac:dyDescent="0.25">
      <c r="A6" s="15" t="s">
        <v>113</v>
      </c>
      <c r="B6" s="15">
        <v>2</v>
      </c>
      <c r="C6" s="15">
        <v>546</v>
      </c>
      <c r="D6" s="15">
        <v>273</v>
      </c>
      <c r="E6" s="15">
        <v>18</v>
      </c>
    </row>
    <row r="7" spans="1:7" x14ac:dyDescent="0.25">
      <c r="A7" s="15"/>
      <c r="B7" s="15"/>
      <c r="C7" s="15"/>
      <c r="D7" s="15"/>
      <c r="E7" s="15"/>
    </row>
    <row r="8" spans="1:7" x14ac:dyDescent="0.25">
      <c r="A8" s="15" t="s">
        <v>237</v>
      </c>
      <c r="B8" s="15">
        <v>3</v>
      </c>
      <c r="C8" s="15">
        <v>688</v>
      </c>
      <c r="D8" s="15">
        <v>229.33333333333334</v>
      </c>
      <c r="E8" s="15">
        <v>1496.3333333333285</v>
      </c>
    </row>
    <row r="9" spans="1:7" ht="15.75" thickBot="1" x14ac:dyDescent="0.3">
      <c r="A9" s="13" t="s">
        <v>238</v>
      </c>
      <c r="B9" s="13">
        <v>3</v>
      </c>
      <c r="C9" s="13">
        <v>756</v>
      </c>
      <c r="D9" s="13">
        <v>252</v>
      </c>
      <c r="E9" s="13">
        <v>657</v>
      </c>
    </row>
    <row r="12" spans="1:7" ht="15.75" thickBot="1" x14ac:dyDescent="0.3">
      <c r="A12" t="s">
        <v>217</v>
      </c>
    </row>
    <row r="13" spans="1:7" x14ac:dyDescent="0.25">
      <c r="A13" s="14" t="s">
        <v>218</v>
      </c>
      <c r="B13" s="14" t="s">
        <v>219</v>
      </c>
      <c r="C13" s="14" t="s">
        <v>220</v>
      </c>
      <c r="D13" s="14" t="s">
        <v>221</v>
      </c>
      <c r="E13" s="14" t="s">
        <v>202</v>
      </c>
      <c r="F13" s="14" t="s">
        <v>222</v>
      </c>
      <c r="G13" s="14" t="s">
        <v>223</v>
      </c>
    </row>
    <row r="14" spans="1:7" x14ac:dyDescent="0.25">
      <c r="A14" s="15" t="s">
        <v>240</v>
      </c>
      <c r="B14" s="15">
        <v>4097.3333333333339</v>
      </c>
      <c r="C14" s="15">
        <v>2</v>
      </c>
      <c r="D14" s="15">
        <v>2048.666666666667</v>
      </c>
      <c r="E14" s="15">
        <v>19.57324840764343</v>
      </c>
      <c r="F14" s="15">
        <v>4.8606811145510555E-2</v>
      </c>
      <c r="G14" s="15">
        <v>18.999999999999996</v>
      </c>
    </row>
    <row r="15" spans="1:7" x14ac:dyDescent="0.25">
      <c r="A15" s="15" t="s">
        <v>233</v>
      </c>
      <c r="B15" s="15">
        <v>770.66666666666788</v>
      </c>
      <c r="C15" s="15">
        <v>1</v>
      </c>
      <c r="D15" s="15">
        <v>770.66666666666788</v>
      </c>
      <c r="E15" s="15">
        <v>7.3630573248408187</v>
      </c>
      <c r="F15" s="15">
        <v>0.1132110973725875</v>
      </c>
      <c r="G15" s="15">
        <v>18.512820512820511</v>
      </c>
    </row>
    <row r="16" spans="1:7" x14ac:dyDescent="0.25">
      <c r="A16" s="15" t="s">
        <v>241</v>
      </c>
      <c r="B16" s="15">
        <v>209.33333333333212</v>
      </c>
      <c r="C16" s="15">
        <v>2</v>
      </c>
      <c r="D16" s="15">
        <v>104.66666666666606</v>
      </c>
      <c r="E16" s="15"/>
      <c r="F16" s="15"/>
      <c r="G16" s="15"/>
    </row>
    <row r="17" spans="1:7" x14ac:dyDescent="0.25">
      <c r="A17" s="15"/>
      <c r="B17" s="15"/>
      <c r="C17" s="15"/>
      <c r="D17" s="15"/>
      <c r="E17" s="15"/>
      <c r="F17" s="15"/>
      <c r="G17" s="15"/>
    </row>
    <row r="18" spans="1:7" ht="15.75" thickBot="1" x14ac:dyDescent="0.3">
      <c r="A18" s="13" t="s">
        <v>226</v>
      </c>
      <c r="B18" s="13">
        <v>5077.3333333333339</v>
      </c>
      <c r="C18" s="13">
        <v>5</v>
      </c>
      <c r="D18" s="13"/>
      <c r="E18" s="13"/>
      <c r="F18" s="13"/>
      <c r="G18" s="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848-2324-46A4-AE2F-51577D596BDB}">
  <dimension ref="A1:O152"/>
  <sheetViews>
    <sheetView tabSelected="1" topLeftCell="A129" zoomScaleNormal="100" workbookViewId="0">
      <selection activeCell="I150" sqref="I150"/>
    </sheetView>
  </sheetViews>
  <sheetFormatPr defaultRowHeight="15" x14ac:dyDescent="0.25"/>
  <cols>
    <col min="1" max="1" width="35.5703125" bestFit="1" customWidth="1"/>
    <col min="2" max="2" width="10.7109375" bestFit="1" customWidth="1"/>
    <col min="3" max="3" width="16.5703125" bestFit="1" customWidth="1"/>
    <col min="4" max="4" width="25.85546875" bestFit="1" customWidth="1"/>
    <col min="5" max="5" width="35.42578125" bestFit="1" customWidth="1"/>
    <col min="6" max="6" width="18.5703125" bestFit="1" customWidth="1"/>
    <col min="7" max="7" width="43.7109375" bestFit="1" customWidth="1"/>
    <col min="8" max="8" width="17.42578125" bestFit="1" customWidth="1"/>
    <col min="9" max="9" width="20.28515625" bestFit="1" customWidth="1"/>
    <col min="10" max="10" width="15.42578125" bestFit="1" customWidth="1"/>
  </cols>
  <sheetData>
    <row r="1" spans="1:15" x14ac:dyDescent="0.25">
      <c r="A1" s="1" t="s">
        <v>10</v>
      </c>
    </row>
    <row r="2" spans="1:15" x14ac:dyDescent="0.25">
      <c r="A2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12</v>
      </c>
      <c r="L2" s="1" t="s">
        <v>9</v>
      </c>
      <c r="M2" s="1" t="s">
        <v>18</v>
      </c>
      <c r="N2" s="1" t="s">
        <v>19</v>
      </c>
      <c r="O2" t="s">
        <v>20</v>
      </c>
    </row>
    <row r="3" spans="1:15" x14ac:dyDescent="0.25">
      <c r="A3">
        <v>83.242400000000004</v>
      </c>
      <c r="B3">
        <f>ROUND(A3,1)</f>
        <v>83.2</v>
      </c>
      <c r="C3">
        <f>SQRT(B3)</f>
        <v>9.1214034007931044</v>
      </c>
      <c r="D3">
        <f>MIN(A3:C3)</f>
        <v>9.1214034007931044</v>
      </c>
      <c r="E3">
        <f>MAX(A3:D3)</f>
        <v>83.242400000000004</v>
      </c>
      <c r="F3">
        <f>SUM(A3:E3)</f>
        <v>267.92760680158619</v>
      </c>
      <c r="G3">
        <f>SQRT(ROUND(D3,2))</f>
        <v>3.0199337741082997</v>
      </c>
      <c r="H3">
        <f>AVERAGE(A3:C3)</f>
        <v>58.521267800264376</v>
      </c>
      <c r="I3">
        <f>MEDIAN(A3:C3)</f>
        <v>83.2</v>
      </c>
      <c r="J3">
        <f>RANK(83.2,A3:F3)</f>
        <v>4</v>
      </c>
      <c r="K3" t="s">
        <v>13</v>
      </c>
      <c r="L3" t="str">
        <f>LEFT(K3,3)</f>
        <v>vis</v>
      </c>
      <c r="M3" t="str">
        <f>RIGHT(K3,3)</f>
        <v>hnu</v>
      </c>
      <c r="N3">
        <f>LEN(K3)</f>
        <v>6</v>
      </c>
      <c r="O3" t="str">
        <f>MID(K3,2,4)</f>
        <v>ishn</v>
      </c>
    </row>
    <row r="4" spans="1:15" x14ac:dyDescent="0.25">
      <c r="A4">
        <v>23.356449999999999</v>
      </c>
      <c r="B4">
        <f t="shared" ref="B4:B7" si="0">ROUND(A4,2)</f>
        <v>23.36</v>
      </c>
      <c r="C4">
        <f t="shared" ref="C4:C7" si="1">SQRT(B4)</f>
        <v>4.8332183894378291</v>
      </c>
      <c r="D4">
        <f t="shared" ref="D4:D7" si="2">MIN(A4:C4)</f>
        <v>4.8332183894378291</v>
      </c>
      <c r="E4">
        <f>MAX(A4:D4)</f>
        <v>23.36</v>
      </c>
      <c r="F4">
        <f t="shared" ref="F4:F7" si="3">SUM(A4:E4)</f>
        <v>79.742886778875658</v>
      </c>
      <c r="G4">
        <f t="shared" ref="G4:G7" si="4">SQRT(ROUND(D4,2))</f>
        <v>2.1977260975835913</v>
      </c>
      <c r="H4">
        <f t="shared" ref="H4:H7" si="5">AVERAGE(A4:C4)</f>
        <v>17.183222796479274</v>
      </c>
      <c r="I4">
        <f t="shared" ref="I4:I7" si="6">MEDIAN(A4:C4)</f>
        <v>23.356449999999999</v>
      </c>
      <c r="J4">
        <f>RANK(C4,A4:F4)</f>
        <v>5</v>
      </c>
      <c r="K4" t="s">
        <v>14</v>
      </c>
      <c r="L4" t="str">
        <f t="shared" ref="L4:L7" si="7">LEFT(K4,3)</f>
        <v>sun</v>
      </c>
      <c r="M4" t="str">
        <f t="shared" ref="M4:M7" si="8">RIGHT(K4,3)</f>
        <v>nil</v>
      </c>
      <c r="N4">
        <f t="shared" ref="N4:N7" si="9">LEN(K4)</f>
        <v>5</v>
      </c>
      <c r="O4" t="str">
        <f t="shared" ref="O4:O7" si="10">MID(K4,2,4)</f>
        <v>unil</v>
      </c>
    </row>
    <row r="5" spans="1:15" x14ac:dyDescent="0.25">
      <c r="A5">
        <v>345.67450000000002</v>
      </c>
      <c r="B5">
        <f t="shared" si="0"/>
        <v>345.67</v>
      </c>
      <c r="C5">
        <f t="shared" si="1"/>
        <v>18.592202666709504</v>
      </c>
      <c r="D5">
        <f t="shared" si="2"/>
        <v>18.592202666709504</v>
      </c>
      <c r="E5">
        <f t="shared" ref="E5:E7" si="11">MAX(A5:D5)</f>
        <v>345.67450000000002</v>
      </c>
      <c r="F5">
        <f t="shared" si="3"/>
        <v>1074.2034053334189</v>
      </c>
      <c r="G5">
        <f t="shared" si="4"/>
        <v>4.3116122274620201</v>
      </c>
      <c r="H5">
        <f t="shared" si="5"/>
        <v>236.64556755556984</v>
      </c>
      <c r="I5">
        <f t="shared" si="6"/>
        <v>345.67</v>
      </c>
      <c r="J5">
        <f t="shared" ref="J5:J7" si="12">RANK(C5,A5:F5)</f>
        <v>5</v>
      </c>
      <c r="K5" t="s">
        <v>15</v>
      </c>
      <c r="L5" t="str">
        <f t="shared" si="7"/>
        <v>siv</v>
      </c>
      <c r="M5" t="str">
        <f t="shared" si="8"/>
        <v>ram</v>
      </c>
      <c r="N5">
        <f t="shared" si="9"/>
        <v>8</v>
      </c>
      <c r="O5" t="str">
        <f t="shared" si="10"/>
        <v xml:space="preserve">iva </v>
      </c>
    </row>
    <row r="6" spans="1:15" x14ac:dyDescent="0.25">
      <c r="A6">
        <v>54.875</v>
      </c>
      <c r="B6">
        <f t="shared" si="0"/>
        <v>54.88</v>
      </c>
      <c r="C6">
        <f t="shared" si="1"/>
        <v>7.4081036709808537</v>
      </c>
      <c r="D6">
        <f t="shared" si="2"/>
        <v>7.4081036709808537</v>
      </c>
      <c r="E6">
        <f t="shared" si="11"/>
        <v>54.88</v>
      </c>
      <c r="F6">
        <f t="shared" si="3"/>
        <v>179.45120734196169</v>
      </c>
      <c r="G6">
        <f t="shared" si="4"/>
        <v>2.7221315177632399</v>
      </c>
      <c r="H6">
        <f t="shared" si="5"/>
        <v>39.054367890326951</v>
      </c>
      <c r="I6">
        <f t="shared" si="6"/>
        <v>54.875</v>
      </c>
      <c r="J6">
        <f t="shared" si="12"/>
        <v>5</v>
      </c>
      <c r="K6" t="s">
        <v>16</v>
      </c>
      <c r="L6" t="str">
        <f t="shared" si="7"/>
        <v>sha</v>
      </c>
      <c r="M6" t="str">
        <f t="shared" si="8"/>
        <v>han</v>
      </c>
      <c r="N6">
        <f t="shared" si="9"/>
        <v>4</v>
      </c>
      <c r="O6" t="str">
        <f t="shared" si="10"/>
        <v>han</v>
      </c>
    </row>
    <row r="7" spans="1:15" x14ac:dyDescent="0.25">
      <c r="A7">
        <v>34.564</v>
      </c>
      <c r="B7">
        <f t="shared" si="0"/>
        <v>34.56</v>
      </c>
      <c r="C7">
        <f t="shared" si="1"/>
        <v>5.8787753826796276</v>
      </c>
      <c r="D7">
        <f t="shared" si="2"/>
        <v>5.8787753826796276</v>
      </c>
      <c r="E7">
        <f t="shared" si="11"/>
        <v>34.564</v>
      </c>
      <c r="F7">
        <f t="shared" si="3"/>
        <v>115.44555076535926</v>
      </c>
      <c r="G7">
        <f t="shared" si="4"/>
        <v>2.4248711305964283</v>
      </c>
      <c r="H7">
        <f t="shared" si="5"/>
        <v>25.000925127559878</v>
      </c>
      <c r="I7">
        <f t="shared" si="6"/>
        <v>34.56</v>
      </c>
      <c r="J7">
        <f t="shared" si="12"/>
        <v>5</v>
      </c>
      <c r="K7" t="s">
        <v>17</v>
      </c>
      <c r="L7" t="str">
        <f t="shared" si="7"/>
        <v>viv</v>
      </c>
      <c r="M7" t="str">
        <f t="shared" si="8"/>
        <v>nan</v>
      </c>
      <c r="N7">
        <f t="shared" si="9"/>
        <v>9</v>
      </c>
      <c r="O7" t="str">
        <f t="shared" si="10"/>
        <v>ivek</v>
      </c>
    </row>
    <row r="9" spans="1:15" x14ac:dyDescent="0.25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29</v>
      </c>
      <c r="G9" s="1" t="s">
        <v>26</v>
      </c>
      <c r="H9" s="1" t="s">
        <v>28</v>
      </c>
      <c r="I9" s="1" t="s">
        <v>30</v>
      </c>
    </row>
    <row r="10" spans="1:15" x14ac:dyDescent="0.25">
      <c r="A10" s="2">
        <f>DATE(2026,5,21)</f>
        <v>46163</v>
      </c>
      <c r="B10" s="2">
        <f ca="1">TODAY()</f>
        <v>46178</v>
      </c>
      <c r="C10">
        <f ca="1">YEAR(B10)</f>
        <v>2026</v>
      </c>
      <c r="D10">
        <f ca="1">MONTH(B10)</f>
        <v>6</v>
      </c>
      <c r="E10">
        <f ca="1">DAY(B10)</f>
        <v>5</v>
      </c>
      <c r="F10">
        <f ca="1">WEEKDAY(B10)</f>
        <v>6</v>
      </c>
      <c r="G10">
        <f ca="1">NETWORKDAYS(A10,A11,2)</f>
        <v>12</v>
      </c>
      <c r="H10" s="2">
        <f ca="1">EOMONTH(B10,0)</f>
        <v>46203</v>
      </c>
      <c r="I10">
        <f ca="1">DATEDIF(A10,B10,"D")</f>
        <v>15</v>
      </c>
      <c r="J10">
        <f ca="1">DATEDIF(G13,TODAY(),"Y")</f>
        <v>19</v>
      </c>
      <c r="K10">
        <f ca="1">DATEDIF(F13,TODAY(),"Y")</f>
        <v>22</v>
      </c>
    </row>
    <row r="11" spans="1:15" x14ac:dyDescent="0.25">
      <c r="A11" s="2">
        <f ca="1">TODAY()</f>
        <v>46178</v>
      </c>
    </row>
    <row r="12" spans="1:15" x14ac:dyDescent="0.25">
      <c r="H12" t="s">
        <v>27</v>
      </c>
      <c r="I12" t="str">
        <f>LEFT(H12,3)</f>
        <v>app</v>
      </c>
    </row>
    <row r="13" spans="1:15" x14ac:dyDescent="0.25">
      <c r="F13" s="2">
        <f>DATE(2004,3,15)</f>
        <v>38061</v>
      </c>
      <c r="G13" s="2">
        <f>DATE(2006,8,26)</f>
        <v>38955</v>
      </c>
      <c r="I13" t="str">
        <f>RIGHT(H12,3)</f>
        <v>ple</v>
      </c>
    </row>
    <row r="15" spans="1:15" x14ac:dyDescent="0.25">
      <c r="A15" s="1" t="s">
        <v>31</v>
      </c>
      <c r="B15" s="1" t="s">
        <v>33</v>
      </c>
      <c r="C15" s="1" t="s">
        <v>34</v>
      </c>
      <c r="D15" s="1" t="s">
        <v>35</v>
      </c>
      <c r="E15" s="1" t="s">
        <v>36</v>
      </c>
      <c r="F15" s="1" t="s">
        <v>20</v>
      </c>
      <c r="G15" s="1" t="s">
        <v>59</v>
      </c>
      <c r="I15" s="1" t="s">
        <v>61</v>
      </c>
      <c r="J15" s="1" t="s">
        <v>63</v>
      </c>
      <c r="K15" s="1" t="s">
        <v>65</v>
      </c>
    </row>
    <row r="16" spans="1:15" x14ac:dyDescent="0.25">
      <c r="A16" t="s">
        <v>32</v>
      </c>
      <c r="B16">
        <f>FIND("la",A16)</f>
        <v>10</v>
      </c>
      <c r="C16" t="str">
        <f>REPLACE(A16,8,4,"kalla")</f>
        <v>vishnu kallagotla</v>
      </c>
      <c r="D16" t="str">
        <f>SUBSTITUTE(A16,"kala","kalla")</f>
        <v>vishnu kallagotla</v>
      </c>
      <c r="E16">
        <f>SEARCH("kala",A16)</f>
        <v>8</v>
      </c>
      <c r="F16" t="str">
        <f>MID(A16,4,8)</f>
        <v>hnu kala</v>
      </c>
      <c r="G16" t="s">
        <v>60</v>
      </c>
      <c r="I16" t="s">
        <v>62</v>
      </c>
      <c r="J16" t="s">
        <v>64</v>
      </c>
      <c r="K16" t="s">
        <v>66</v>
      </c>
    </row>
    <row r="17" spans="1:11" x14ac:dyDescent="0.25">
      <c r="A17" t="s">
        <v>55</v>
      </c>
      <c r="B17" t="s">
        <v>56</v>
      </c>
      <c r="C17" t="s">
        <v>57</v>
      </c>
      <c r="D17" t="s">
        <v>58</v>
      </c>
      <c r="E17" t="str">
        <f>_xlfn.CONCAT(A17:D17)</f>
        <v>vardhan</v>
      </c>
      <c r="G17" t="str">
        <f>_xlfn.TEXTJOIN("-",TRUE,A17:D17)</f>
        <v>va-rd-ha-n</v>
      </c>
      <c r="I17" t="str">
        <f>UPPER(A16)</f>
        <v>VISHNU KALAGOTLA</v>
      </c>
      <c r="J17" t="str">
        <f>LOWER(A16)</f>
        <v>vishnu kalagotla</v>
      </c>
      <c r="K17" t="str">
        <f>PROPER(D16)</f>
        <v>Vishnu Kallagotla</v>
      </c>
    </row>
    <row r="18" spans="1:11" x14ac:dyDescent="0.25">
      <c r="A18" t="s">
        <v>27</v>
      </c>
      <c r="B18">
        <f>FIND("pl",A18)</f>
        <v>3</v>
      </c>
      <c r="E18" t="str">
        <f>_xlfn.TEXTJOIN(" ",TRUE,A17:D17)</f>
        <v>va rd ha n</v>
      </c>
    </row>
    <row r="19" spans="1:11" x14ac:dyDescent="0.25">
      <c r="B19">
        <f>FIND("p",A18)</f>
        <v>2</v>
      </c>
      <c r="D19" s="1" t="s">
        <v>70</v>
      </c>
      <c r="E19" s="1" t="s">
        <v>43</v>
      </c>
      <c r="G19" s="1" t="s">
        <v>67</v>
      </c>
    </row>
    <row r="20" spans="1:11" ht="18" customHeight="1" x14ac:dyDescent="0.25">
      <c r="D20" t="s">
        <v>71</v>
      </c>
      <c r="E20" t="s">
        <v>69</v>
      </c>
      <c r="G20" t="s">
        <v>68</v>
      </c>
    </row>
    <row r="21" spans="1:11" x14ac:dyDescent="0.25">
      <c r="A21" s="1" t="s">
        <v>37</v>
      </c>
      <c r="D21" t="b">
        <f>EXACT(C16,D16)</f>
        <v>1</v>
      </c>
      <c r="E21">
        <f>VALUE("200")</f>
        <v>200</v>
      </c>
    </row>
    <row r="22" spans="1:11" x14ac:dyDescent="0.25">
      <c r="B22" s="1" t="s">
        <v>38</v>
      </c>
      <c r="C22" s="1" t="s">
        <v>39</v>
      </c>
      <c r="D22" s="1" t="s">
        <v>40</v>
      </c>
      <c r="E22" s="1" t="s">
        <v>41</v>
      </c>
    </row>
    <row r="23" spans="1:11" x14ac:dyDescent="0.25">
      <c r="A23">
        <v>24</v>
      </c>
      <c r="B23">
        <f>PRODUCT(A23,A24)</f>
        <v>288</v>
      </c>
      <c r="C23">
        <f>ROUND(SQRT(B23),2)</f>
        <v>16.97</v>
      </c>
      <c r="D23">
        <f>MOD(100,3)</f>
        <v>1</v>
      </c>
      <c r="E23">
        <f>FACT(5)</f>
        <v>120</v>
      </c>
    </row>
    <row r="24" spans="1:11" x14ac:dyDescent="0.25">
      <c r="A24">
        <v>12</v>
      </c>
      <c r="D24">
        <f>MOD(A23,A24)</f>
        <v>0</v>
      </c>
    </row>
    <row r="26" spans="1:11" x14ac:dyDescent="0.25">
      <c r="A26" t="s">
        <v>47</v>
      </c>
      <c r="B26" t="s">
        <v>42</v>
      </c>
      <c r="C26" t="s">
        <v>43</v>
      </c>
      <c r="D26" s="1" t="s">
        <v>4</v>
      </c>
      <c r="E26" s="1" t="s">
        <v>51</v>
      </c>
      <c r="F26" s="1" t="s">
        <v>52</v>
      </c>
      <c r="G26" s="1" t="s">
        <v>6</v>
      </c>
      <c r="H26" s="1" t="s">
        <v>53</v>
      </c>
      <c r="I26" s="1" t="s">
        <v>54</v>
      </c>
    </row>
    <row r="27" spans="1:11" x14ac:dyDescent="0.25">
      <c r="A27" t="s">
        <v>48</v>
      </c>
      <c r="B27" t="s">
        <v>44</v>
      </c>
      <c r="C27">
        <v>100</v>
      </c>
      <c r="D27">
        <f>SUM(C27:C31)</f>
        <v>300</v>
      </c>
      <c r="E27">
        <f>SUMIF(B27:B31,"red",C27:C31)</f>
        <v>230</v>
      </c>
      <c r="F27">
        <f>SUMIFS(C27:C31,B27:B31,"red",A27:A31,"ap")</f>
        <v>130</v>
      </c>
      <c r="G27">
        <f>AVERAGE(C27:C31)</f>
        <v>60</v>
      </c>
      <c r="H27">
        <f>AVERAGEIF(B27:B31,"red",C27:C31)</f>
        <v>76.666666666666671</v>
      </c>
      <c r="I27">
        <f>AVERAGEIFS(C27:C31,B27:B31,"red",A27:A31,"ap")</f>
        <v>65</v>
      </c>
    </row>
    <row r="28" spans="1:11" x14ac:dyDescent="0.25">
      <c r="A28" t="s">
        <v>49</v>
      </c>
      <c r="B28" t="s">
        <v>45</v>
      </c>
      <c r="C28">
        <v>50</v>
      </c>
    </row>
    <row r="29" spans="1:11" x14ac:dyDescent="0.25">
      <c r="A29" t="s">
        <v>50</v>
      </c>
      <c r="B29" t="s">
        <v>44</v>
      </c>
      <c r="C29">
        <v>100</v>
      </c>
    </row>
    <row r="30" spans="1:11" x14ac:dyDescent="0.25">
      <c r="A30" t="s">
        <v>48</v>
      </c>
      <c r="B30" t="s">
        <v>44</v>
      </c>
      <c r="C30">
        <v>30</v>
      </c>
    </row>
    <row r="31" spans="1:11" x14ac:dyDescent="0.25">
      <c r="A31" t="s">
        <v>48</v>
      </c>
      <c r="B31" t="s">
        <v>46</v>
      </c>
      <c r="C31">
        <v>20</v>
      </c>
    </row>
    <row r="33" spans="1:13" x14ac:dyDescent="0.25">
      <c r="A33" s="1" t="s">
        <v>72</v>
      </c>
    </row>
    <row r="35" spans="1:13" x14ac:dyDescent="0.25">
      <c r="A35" t="s">
        <v>73</v>
      </c>
      <c r="B35" t="s">
        <v>74</v>
      </c>
      <c r="C35" t="s">
        <v>75</v>
      </c>
      <c r="D35" t="s">
        <v>76</v>
      </c>
      <c r="F35" s="1" t="s">
        <v>85</v>
      </c>
      <c r="G35" s="3" t="str" cm="1">
        <f t="array" ref="G35:M38">TRANSPOSE(Table3[#All])</f>
        <v>id</v>
      </c>
      <c r="H35" s="3">
        <v>1</v>
      </c>
      <c r="I35" s="3">
        <v>2</v>
      </c>
      <c r="J35" s="3">
        <v>3</v>
      </c>
      <c r="K35" s="3">
        <v>4</v>
      </c>
      <c r="L35" s="3">
        <v>5</v>
      </c>
      <c r="M35" s="3">
        <v>6</v>
      </c>
    </row>
    <row r="36" spans="1:13" x14ac:dyDescent="0.25">
      <c r="A36">
        <v>1</v>
      </c>
      <c r="B36" t="s">
        <v>77</v>
      </c>
      <c r="C36" t="s">
        <v>80</v>
      </c>
      <c r="D36">
        <v>95</v>
      </c>
      <c r="F36" t="s">
        <v>86</v>
      </c>
      <c r="G36" s="3" t="str">
        <v>name</v>
      </c>
      <c r="H36" s="3" t="str">
        <v>vis</v>
      </c>
      <c r="I36" s="3" t="str">
        <v>viv</v>
      </c>
      <c r="J36" s="3" t="str">
        <v>sunil</v>
      </c>
      <c r="K36" s="3" t="str">
        <v>shan</v>
      </c>
      <c r="L36" s="3" t="str">
        <v>var</v>
      </c>
      <c r="M36" s="3" t="str">
        <v>vis</v>
      </c>
    </row>
    <row r="37" spans="1:13" x14ac:dyDescent="0.25">
      <c r="A37">
        <v>2</v>
      </c>
      <c r="B37" t="s">
        <v>78</v>
      </c>
      <c r="C37" t="s">
        <v>81</v>
      </c>
      <c r="D37">
        <v>86</v>
      </c>
      <c r="F37">
        <f>VLOOKUP(B38,Table3[[name]:[marks]],3,1)</f>
        <v>92</v>
      </c>
      <c r="G37" s="3" t="str">
        <v>branch</v>
      </c>
      <c r="H37" s="3" t="str">
        <v>csd</v>
      </c>
      <c r="I37" s="3" t="str">
        <v>cse</v>
      </c>
      <c r="J37" s="3" t="str">
        <v>ai</v>
      </c>
      <c r="K37" s="3" t="str">
        <v>ml</v>
      </c>
      <c r="L37" s="3" t="str">
        <v>ece</v>
      </c>
      <c r="M37" s="3" t="str">
        <v>cse</v>
      </c>
    </row>
    <row r="38" spans="1:13" x14ac:dyDescent="0.25">
      <c r="A38">
        <v>3</v>
      </c>
      <c r="B38" t="s">
        <v>14</v>
      </c>
      <c r="C38" t="s">
        <v>82</v>
      </c>
      <c r="D38">
        <v>92</v>
      </c>
      <c r="G38" s="3" t="str">
        <v>marks</v>
      </c>
      <c r="H38" s="3">
        <v>95</v>
      </c>
      <c r="I38" s="3">
        <v>86</v>
      </c>
      <c r="J38" s="3">
        <v>92</v>
      </c>
      <c r="K38" s="3">
        <v>88</v>
      </c>
      <c r="L38" s="3">
        <v>85</v>
      </c>
      <c r="M38" s="3">
        <v>90</v>
      </c>
    </row>
    <row r="39" spans="1:13" x14ac:dyDescent="0.25">
      <c r="A39">
        <v>4</v>
      </c>
      <c r="B39" t="s">
        <v>16</v>
      </c>
      <c r="C39" t="s">
        <v>83</v>
      </c>
      <c r="D39">
        <v>88</v>
      </c>
      <c r="F39" s="1" t="s">
        <v>87</v>
      </c>
    </row>
    <row r="40" spans="1:13" x14ac:dyDescent="0.25">
      <c r="A40">
        <v>5</v>
      </c>
      <c r="B40" t="s">
        <v>79</v>
      </c>
      <c r="C40" t="s">
        <v>84</v>
      </c>
      <c r="D40">
        <v>85</v>
      </c>
      <c r="F40">
        <f>HLOOKUP(I36,H36:M38,3,0)</f>
        <v>86</v>
      </c>
      <c r="G40" s="1" t="s">
        <v>89</v>
      </c>
      <c r="H40" s="1" t="s">
        <v>90</v>
      </c>
    </row>
    <row r="41" spans="1:13" x14ac:dyDescent="0.25">
      <c r="A41">
        <v>6</v>
      </c>
      <c r="B41" t="s">
        <v>77</v>
      </c>
      <c r="C41" t="s">
        <v>81</v>
      </c>
      <c r="D41">
        <v>90</v>
      </c>
      <c r="F41" s="1" t="s">
        <v>88</v>
      </c>
      <c r="G41" t="str">
        <f>INDEX(H36:M38,2,2)</f>
        <v>cse</v>
      </c>
      <c r="H41">
        <f>MATCH(H36,H36:M36,1)</f>
        <v>6</v>
      </c>
    </row>
    <row r="42" spans="1:13" x14ac:dyDescent="0.25">
      <c r="F42">
        <f>_xlfn.XLOOKUP(H36,H36:M36,H38:M38)</f>
        <v>95</v>
      </c>
    </row>
    <row r="43" spans="1:13" x14ac:dyDescent="0.25">
      <c r="D43">
        <f>_xlfn.XLOOKUP(B36,Table3[name],Table3[marks])</f>
        <v>95</v>
      </c>
    </row>
    <row r="44" spans="1:13" x14ac:dyDescent="0.25">
      <c r="A44" t="s">
        <v>91</v>
      </c>
    </row>
    <row r="45" spans="1:13" x14ac:dyDescent="0.25">
      <c r="B45" s="4" t="s">
        <v>92</v>
      </c>
      <c r="C45" s="4" t="s">
        <v>93</v>
      </c>
      <c r="D45" s="4" t="s">
        <v>94</v>
      </c>
      <c r="E45" s="4" t="s">
        <v>95</v>
      </c>
      <c r="F45" s="4" t="s">
        <v>96</v>
      </c>
    </row>
    <row r="46" spans="1:13" ht="30.75" customHeight="1" x14ac:dyDescent="0.25">
      <c r="B46" s="5" t="s">
        <v>97</v>
      </c>
      <c r="C46" s="5" t="s">
        <v>98</v>
      </c>
      <c r="D46" s="5" t="s">
        <v>99</v>
      </c>
      <c r="E46" s="5">
        <v>50000</v>
      </c>
      <c r="F46" s="5" t="s">
        <v>100</v>
      </c>
      <c r="G46" s="5" t="s">
        <v>115</v>
      </c>
      <c r="H46" s="5"/>
    </row>
    <row r="47" spans="1:13" x14ac:dyDescent="0.25">
      <c r="B47" s="5" t="s">
        <v>101</v>
      </c>
      <c r="C47" s="5" t="s">
        <v>102</v>
      </c>
      <c r="D47" s="5" t="s">
        <v>103</v>
      </c>
      <c r="E47" s="5">
        <v>45000</v>
      </c>
      <c r="F47" s="5" t="s">
        <v>104</v>
      </c>
      <c r="G47" t="str">
        <f>VLOOKUP(B48,B46:C50,2,FALSE)</f>
        <v>Imtiaz</v>
      </c>
    </row>
    <row r="48" spans="1:13" x14ac:dyDescent="0.25">
      <c r="B48" s="5" t="s">
        <v>105</v>
      </c>
      <c r="C48" s="5" t="s">
        <v>106</v>
      </c>
      <c r="D48" s="5" t="s">
        <v>107</v>
      </c>
      <c r="E48" s="5">
        <v>55000</v>
      </c>
      <c r="F48" s="5" t="s">
        <v>108</v>
      </c>
      <c r="G48" s="5" t="s">
        <v>116</v>
      </c>
    </row>
    <row r="49" spans="1:14" x14ac:dyDescent="0.25">
      <c r="B49" s="5" t="s">
        <v>109</v>
      </c>
      <c r="C49" s="5" t="s">
        <v>110</v>
      </c>
      <c r="D49" s="5" t="s">
        <v>99</v>
      </c>
      <c r="E49" s="5">
        <v>60000</v>
      </c>
      <c r="F49" s="5" t="s">
        <v>100</v>
      </c>
      <c r="G49">
        <f>_xlfn.XLOOKUP(B49,B46:B50,E46:E50)</f>
        <v>60000</v>
      </c>
    </row>
    <row r="50" spans="1:14" x14ac:dyDescent="0.25">
      <c r="B50" s="5" t="s">
        <v>111</v>
      </c>
      <c r="C50" s="5" t="s">
        <v>112</v>
      </c>
      <c r="D50" s="5" t="s">
        <v>113</v>
      </c>
      <c r="E50" s="5">
        <v>48000</v>
      </c>
      <c r="F50" s="5" t="s">
        <v>114</v>
      </c>
      <c r="G50" s="5" t="s">
        <v>117</v>
      </c>
    </row>
    <row r="51" spans="1:14" x14ac:dyDescent="0.25">
      <c r="G51" t="str">
        <f>_xlfn.XLOOKUP(B46,B46:B50,F46:F50)</f>
        <v>Ravi</v>
      </c>
    </row>
    <row r="54" spans="1:14" ht="30" x14ac:dyDescent="0.25">
      <c r="B54" s="4" t="s">
        <v>118</v>
      </c>
      <c r="C54" s="4" t="s">
        <v>119</v>
      </c>
      <c r="D54" t="s">
        <v>124</v>
      </c>
      <c r="E54" s="4" t="s">
        <v>92</v>
      </c>
      <c r="F54" s="4" t="s">
        <v>94</v>
      </c>
      <c r="G54" s="4" t="s">
        <v>126</v>
      </c>
      <c r="I54" t="s">
        <v>127</v>
      </c>
    </row>
    <row r="55" spans="1:14" x14ac:dyDescent="0.25">
      <c r="B55" s="5">
        <v>0</v>
      </c>
      <c r="C55" s="5" t="s">
        <v>120</v>
      </c>
      <c r="D55" t="str">
        <f>VLOOKUP(55000,B55:C58,2,TRUE)</f>
        <v>A</v>
      </c>
      <c r="E55" s="5" t="s">
        <v>97</v>
      </c>
      <c r="F55" s="5" t="s">
        <v>99</v>
      </c>
      <c r="G55" s="5">
        <v>5000</v>
      </c>
      <c r="I55" cm="1">
        <f t="array" ref="I55">INDEX(E55:G59,MATCH(1,(E55:E59="E101")*(F55:F59="HR"),0),3)</f>
        <v>4000</v>
      </c>
    </row>
    <row r="56" spans="1:14" x14ac:dyDescent="0.25">
      <c r="B56" s="5">
        <v>30000</v>
      </c>
      <c r="C56" s="5" t="s">
        <v>121</v>
      </c>
      <c r="D56" t="s">
        <v>125</v>
      </c>
      <c r="E56" s="5" t="s">
        <v>97</v>
      </c>
      <c r="F56" s="5" t="s">
        <v>103</v>
      </c>
      <c r="G56" s="5">
        <v>4000</v>
      </c>
      <c r="I56" cm="1">
        <f t="array" ref="I56">_xlfn.XLOOKUP("E101HR",E55:E59 &amp; F55:F59,G55:G59)</f>
        <v>4000</v>
      </c>
    </row>
    <row r="57" spans="1:14" x14ac:dyDescent="0.25">
      <c r="B57" s="5">
        <v>50000</v>
      </c>
      <c r="C57" s="5" t="s">
        <v>122</v>
      </c>
      <c r="D57" t="str">
        <f>VLOOKUP(25000,B55:C58,2,TRUE)</f>
        <v>C</v>
      </c>
      <c r="E57" s="5" t="s">
        <v>101</v>
      </c>
      <c r="F57" s="5" t="s">
        <v>99</v>
      </c>
      <c r="G57" s="5">
        <v>4500</v>
      </c>
    </row>
    <row r="58" spans="1:14" x14ac:dyDescent="0.25">
      <c r="B58" s="5">
        <v>70000</v>
      </c>
      <c r="C58" s="5" t="s">
        <v>123</v>
      </c>
      <c r="E58" s="5" t="s">
        <v>101</v>
      </c>
      <c r="F58" s="5" t="s">
        <v>103</v>
      </c>
      <c r="G58" s="5">
        <v>3500</v>
      </c>
      <c r="I58">
        <f>SUMIFS(G55:G59,E55:E59,E56,F55:F59,F56)</f>
        <v>4000</v>
      </c>
    </row>
    <row r="59" spans="1:14" x14ac:dyDescent="0.25">
      <c r="E59" s="5" t="s">
        <v>105</v>
      </c>
      <c r="F59" s="5" t="s">
        <v>103</v>
      </c>
      <c r="G59" s="5">
        <v>6000</v>
      </c>
    </row>
    <row r="60" spans="1:14" x14ac:dyDescent="0.25">
      <c r="A60" s="1" t="s">
        <v>128</v>
      </c>
    </row>
    <row r="61" spans="1:14" x14ac:dyDescent="0.25">
      <c r="B61" t="s">
        <v>73</v>
      </c>
      <c r="C61" t="s">
        <v>74</v>
      </c>
      <c r="D61" t="s">
        <v>75</v>
      </c>
      <c r="E61" t="s">
        <v>76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136</v>
      </c>
      <c r="N61" t="s">
        <v>137</v>
      </c>
    </row>
    <row r="62" spans="1:14" x14ac:dyDescent="0.25">
      <c r="B62">
        <v>1</v>
      </c>
      <c r="C62" t="s">
        <v>77</v>
      </c>
      <c r="D62" t="s">
        <v>80</v>
      </c>
      <c r="E62">
        <v>95</v>
      </c>
      <c r="F62" t="str">
        <f>IF(Table315[[#This Row],[marks]]&gt;90,"A+",IF(Table315[[#This Row],[marks]]&gt;80,"B+",IF(Table315[[#This Row],[marks]]&gt;70,"C +",IF(Table315[[#This Row],[marks]]&gt;60,"C","Fail"))))</f>
        <v>A+</v>
      </c>
      <c r="G62" t="b">
        <f>AND(Table315[[#This Row],[marks]]&gt;85,Table315[[#This Row],[marks]]&lt;=95)</f>
        <v>1</v>
      </c>
      <c r="H62" t="b">
        <f>OR(Table315[[#This Row],[marks]]&gt;75,Table315[[#This Row],[marks]]&gt;90)</f>
        <v>1</v>
      </c>
      <c r="I62" t="b">
        <f>NOT(Table315[[#This Row],[marks]]&gt;90)</f>
        <v>0</v>
      </c>
      <c r="J62" t="b">
        <f>_xlfn.XOR(Table315[[#This Row],[or]],Table315[[#This Row],[not]])</f>
        <v>1</v>
      </c>
      <c r="K62" t="b">
        <f>ISBLANK(Table315[[#This Row],[marks]])</f>
        <v>0</v>
      </c>
      <c r="L62" t="b">
        <f>ISNUMBER(Table315[[#This Row],[marks]])</f>
        <v>1</v>
      </c>
      <c r="M62" t="b">
        <f>ISERROR(Table315[[#This Row],[marks]]/0)</f>
        <v>1</v>
      </c>
      <c r="N62" t="str">
        <f>IFERROR(Table315[[#This Row],[marks]]/0,"error")</f>
        <v>error</v>
      </c>
    </row>
    <row r="63" spans="1:14" x14ac:dyDescent="0.25">
      <c r="B63">
        <v>2</v>
      </c>
      <c r="C63" t="s">
        <v>78</v>
      </c>
      <c r="D63" t="s">
        <v>81</v>
      </c>
      <c r="F63" t="str">
        <f>IF(Table315[[#This Row],[marks]]&gt;90,"A+",IF(Table315[[#This Row],[marks]]&gt;80,"B+",IF(Table315[[#This Row],[marks]]&gt;70,"C +",IF(Table315[[#This Row],[marks]]&gt;60,"C","Fail"))))</f>
        <v>Fail</v>
      </c>
      <c r="G63" t="b">
        <f>AND(Table315[[#This Row],[marks]]&gt;85,Table315[[#This Row],[marks]]&lt;=95)</f>
        <v>0</v>
      </c>
      <c r="H63" t="b">
        <f>OR(Table315[[#This Row],[marks]]&gt;75,Table315[[#This Row],[marks]]&gt;90)</f>
        <v>0</v>
      </c>
      <c r="I63" t="b">
        <f>NOT(Table315[[#This Row],[marks]]&gt;90)</f>
        <v>1</v>
      </c>
      <c r="J63" t="b">
        <f>_xlfn.XOR(Table315[[#This Row],[or]],Table315[[#This Row],[not]])</f>
        <v>1</v>
      </c>
      <c r="K63" t="b">
        <f>ISBLANK(Table315[[#This Row],[marks]])</f>
        <v>1</v>
      </c>
      <c r="L63" t="b">
        <f>ISNUMBER(Table315[[#This Row],[marks]])</f>
        <v>0</v>
      </c>
      <c r="M63" t="b">
        <f>ISERROR(Table315[[#This Row],[marks]]/0)</f>
        <v>1</v>
      </c>
      <c r="N63" t="str">
        <f>IFERROR(Table315[[#This Row],[marks]]/0,"error")</f>
        <v>error</v>
      </c>
    </row>
    <row r="64" spans="1:14" x14ac:dyDescent="0.25">
      <c r="B64">
        <v>3</v>
      </c>
      <c r="C64" t="s">
        <v>14</v>
      </c>
      <c r="D64" t="s">
        <v>82</v>
      </c>
      <c r="E64">
        <v>72</v>
      </c>
      <c r="F64" t="str">
        <f>IF(Table315[[#This Row],[marks]]&gt;90,"A+",IF(Table315[[#This Row],[marks]]&gt;80,"B+",IF(Table315[[#This Row],[marks]]&gt;70,"C +",IF(Table315[[#This Row],[marks]]&gt;60,"C","Fail"))))</f>
        <v>C +</v>
      </c>
      <c r="G64" t="b">
        <f>AND(Table315[[#This Row],[marks]]&gt;85,Table315[[#This Row],[marks]]&lt;=95)</f>
        <v>0</v>
      </c>
      <c r="H64" t="b">
        <f>OR(Table315[[#This Row],[marks]]&gt;75,Table315[[#This Row],[marks]]&gt;90)</f>
        <v>0</v>
      </c>
      <c r="I64" t="b">
        <f>NOT(Table315[[#This Row],[marks]]&gt;90)</f>
        <v>1</v>
      </c>
      <c r="J64" t="b">
        <f>_xlfn.XOR(Table315[[#This Row],[or]],Table315[[#This Row],[not]])</f>
        <v>1</v>
      </c>
      <c r="K64" t="b">
        <f>ISBLANK(Table315[[#This Row],[marks]])</f>
        <v>0</v>
      </c>
      <c r="L64" t="b">
        <f>ISNUMBER(Table315[[#This Row],[marks]])</f>
        <v>1</v>
      </c>
      <c r="M64" t="b">
        <f>ISERROR(Table315[[#This Row],[marks]]/0)</f>
        <v>1</v>
      </c>
      <c r="N64" t="str">
        <f>IFERROR(Table315[[#This Row],[marks]]/0,"error")</f>
        <v>error</v>
      </c>
    </row>
    <row r="65" spans="1:14" x14ac:dyDescent="0.25">
      <c r="B65">
        <v>4</v>
      </c>
      <c r="C65" t="s">
        <v>16</v>
      </c>
      <c r="D65" t="s">
        <v>83</v>
      </c>
      <c r="E65">
        <v>88</v>
      </c>
      <c r="F65" t="str">
        <f>IF(Table315[[#This Row],[marks]]&gt;90,"A+",IF(Table315[[#This Row],[marks]]&gt;80,"B+",IF(Table315[[#This Row],[marks]]&gt;70,"C +",IF(Table315[[#This Row],[marks]]&gt;60,"C","Fail"))))</f>
        <v>B+</v>
      </c>
      <c r="G65" t="b">
        <f>AND(Table315[[#This Row],[marks]]&gt;85,Table315[[#This Row],[marks]]&lt;=95)</f>
        <v>1</v>
      </c>
      <c r="H65" t="b">
        <f>OR(Table315[[#This Row],[marks]]&gt;75,Table315[[#This Row],[marks]]&gt;90)</f>
        <v>1</v>
      </c>
      <c r="I65" t="b">
        <f>NOT(Table315[[#This Row],[marks]]&gt;90)</f>
        <v>1</v>
      </c>
      <c r="J65" t="b">
        <f>_xlfn.XOR(Table315[[#This Row],[or]],Table315[[#This Row],[not]])</f>
        <v>0</v>
      </c>
      <c r="K65" t="b">
        <f>ISBLANK(Table315[[#This Row],[marks]])</f>
        <v>0</v>
      </c>
      <c r="L65" t="b">
        <f>ISNUMBER(Table315[[#This Row],[marks]])</f>
        <v>1</v>
      </c>
      <c r="M65" t="b">
        <f>ISERROR(Table315[[#This Row],[marks]]/0)</f>
        <v>1</v>
      </c>
      <c r="N65" t="str">
        <f>IFERROR(Table315[[#This Row],[marks]]/0,"error")</f>
        <v>error</v>
      </c>
    </row>
    <row r="66" spans="1:14" x14ac:dyDescent="0.25">
      <c r="B66">
        <v>5</v>
      </c>
      <c r="C66" t="s">
        <v>79</v>
      </c>
      <c r="D66" t="s">
        <v>84</v>
      </c>
      <c r="E66">
        <v>50</v>
      </c>
      <c r="F66" t="str">
        <f>IF(Table315[[#This Row],[marks]]&gt;90,"A+",IF(Table315[[#This Row],[marks]]&gt;80,"B+",IF(Table315[[#This Row],[marks]]&gt;70,"C +",IF(Table315[[#This Row],[marks]]&gt;60,"C","Fail"))))</f>
        <v>Fail</v>
      </c>
      <c r="G66" t="b">
        <f>AND(Table315[[#This Row],[marks]]&gt;85,Table315[[#This Row],[marks]]&lt;=95)</f>
        <v>0</v>
      </c>
      <c r="H66" t="b">
        <f>OR(Table315[[#This Row],[marks]]&gt;75,Table315[[#This Row],[marks]]&gt;90)</f>
        <v>0</v>
      </c>
      <c r="I66" t="b">
        <f>NOT(Table315[[#This Row],[marks]]&gt;90)</f>
        <v>1</v>
      </c>
      <c r="J66" t="b">
        <f>_xlfn.XOR(Table315[[#This Row],[or]],Table315[[#This Row],[not]])</f>
        <v>1</v>
      </c>
      <c r="K66" t="b">
        <f>ISBLANK(Table315[[#This Row],[marks]])</f>
        <v>0</v>
      </c>
      <c r="L66" t="b">
        <f>ISNUMBER(Table315[[#This Row],[marks]])</f>
        <v>1</v>
      </c>
      <c r="M66" t="b">
        <f>ISERROR(Table315[[#This Row],[marks]]/0)</f>
        <v>1</v>
      </c>
      <c r="N66" t="str">
        <f>IFERROR(Table315[[#This Row],[marks]]/0,"error")</f>
        <v>error</v>
      </c>
    </row>
    <row r="67" spans="1:14" x14ac:dyDescent="0.25">
      <c r="B67">
        <v>6</v>
      </c>
      <c r="C67" t="s">
        <v>77</v>
      </c>
      <c r="D67" t="s">
        <v>81</v>
      </c>
      <c r="E67">
        <v>40</v>
      </c>
      <c r="F67" t="str">
        <f>IF(Table315[[#This Row],[marks]]&gt;90,"A+",IF(Table315[[#This Row],[marks]]&gt;80,"B+",IF(Table315[[#This Row],[marks]]&gt;70,"C +",IF(Table315[[#This Row],[marks]]&gt;60,"C","Fail"))))</f>
        <v>Fail</v>
      </c>
      <c r="G67" t="b">
        <f>AND(Table315[[#This Row],[marks]]&gt;85,Table315[[#This Row],[marks]]&lt;=95)</f>
        <v>0</v>
      </c>
      <c r="H67" t="b">
        <f>OR(Table315[[#This Row],[marks]]&gt;75,Table315[[#This Row],[marks]]&gt;90)</f>
        <v>0</v>
      </c>
      <c r="I67" t="b">
        <f>NOT(Table315[[#This Row],[marks]]&gt;90)</f>
        <v>1</v>
      </c>
      <c r="J67" t="b">
        <f>_xlfn.XOR(Table315[[#This Row],[or]],Table315[[#This Row],[not]])</f>
        <v>1</v>
      </c>
      <c r="K67" t="b">
        <f>ISBLANK(Table315[[#This Row],[marks]])</f>
        <v>0</v>
      </c>
      <c r="L67" t="b">
        <f>ISNUMBER(Table315[[#This Row],[marks]])</f>
        <v>1</v>
      </c>
      <c r="M67" t="b">
        <f>ISERROR(Table315[[#This Row],[marks]]/0)</f>
        <v>1</v>
      </c>
      <c r="N67" t="str">
        <f>IFERROR(Table315[[#This Row],[marks]]/0,"error")</f>
        <v>error</v>
      </c>
    </row>
    <row r="69" spans="1:14" x14ac:dyDescent="0.25">
      <c r="E69" t="s">
        <v>138</v>
      </c>
    </row>
    <row r="70" spans="1:14" x14ac:dyDescent="0.25">
      <c r="E70" t="s">
        <v>139</v>
      </c>
    </row>
    <row r="71" spans="1:14" x14ac:dyDescent="0.25">
      <c r="E71" t="str" cm="1">
        <f t="array" ref="E71">_xlfn.IFS(E62&gt;90,"A",E62&gt;80,"B",TRUE,"fail")</f>
        <v>A</v>
      </c>
    </row>
    <row r="72" spans="1:14" x14ac:dyDescent="0.25">
      <c r="A72" t="s">
        <v>140</v>
      </c>
    </row>
    <row r="73" spans="1:14" x14ac:dyDescent="0.25">
      <c r="A73" t="s">
        <v>141</v>
      </c>
    </row>
    <row r="74" spans="1:14" x14ac:dyDescent="0.25">
      <c r="A74" t="s">
        <v>142</v>
      </c>
    </row>
    <row r="75" spans="1:14" x14ac:dyDescent="0.25">
      <c r="A75" t="s">
        <v>143</v>
      </c>
    </row>
    <row r="76" spans="1:14" x14ac:dyDescent="0.25">
      <c r="C76" s="4" t="s">
        <v>92</v>
      </c>
      <c r="D76" s="4" t="s">
        <v>144</v>
      </c>
      <c r="E76" s="4" t="s">
        <v>94</v>
      </c>
      <c r="F76" s="4" t="s">
        <v>145</v>
      </c>
      <c r="G76" s="7" t="s">
        <v>146</v>
      </c>
      <c r="H76" s="7" t="s">
        <v>147</v>
      </c>
      <c r="I76" s="7" t="s">
        <v>148</v>
      </c>
      <c r="J76" s="7" t="s">
        <v>126</v>
      </c>
      <c r="K76" s="4" t="s">
        <v>149</v>
      </c>
    </row>
    <row r="77" spans="1:14" ht="30" x14ac:dyDescent="0.25">
      <c r="C77" s="5" t="s">
        <v>97</v>
      </c>
      <c r="D77" s="5" t="s">
        <v>150</v>
      </c>
      <c r="E77" s="5" t="s">
        <v>99</v>
      </c>
      <c r="F77" s="8">
        <v>45303</v>
      </c>
      <c r="G77" s="6">
        <v>85000</v>
      </c>
      <c r="H77" s="6">
        <v>100000</v>
      </c>
      <c r="I77" s="6">
        <v>0.85</v>
      </c>
      <c r="J77" s="6">
        <v>5000</v>
      </c>
      <c r="K77" s="5" t="s">
        <v>151</v>
      </c>
    </row>
    <row r="78" spans="1:14" ht="30" x14ac:dyDescent="0.25">
      <c r="C78" s="5" t="s">
        <v>101</v>
      </c>
      <c r="D78" s="5" t="s">
        <v>152</v>
      </c>
      <c r="E78" s="5" t="s">
        <v>113</v>
      </c>
      <c r="F78" s="8">
        <v>45000</v>
      </c>
      <c r="G78" s="6">
        <v>120000</v>
      </c>
      <c r="H78" s="6">
        <v>100000</v>
      </c>
      <c r="I78" s="6">
        <v>1.2</v>
      </c>
      <c r="J78" s="6">
        <v>10000</v>
      </c>
      <c r="K78" s="5" t="s">
        <v>151</v>
      </c>
    </row>
    <row r="79" spans="1:14" x14ac:dyDescent="0.25">
      <c r="C79" s="5" t="s">
        <v>105</v>
      </c>
      <c r="D79" s="5" t="s">
        <v>153</v>
      </c>
      <c r="E79" s="5" t="s">
        <v>103</v>
      </c>
      <c r="F79" s="8">
        <v>44764</v>
      </c>
      <c r="G79" s="6">
        <v>45000</v>
      </c>
      <c r="H79" s="6">
        <v>60000</v>
      </c>
      <c r="I79" s="6">
        <v>0.75</v>
      </c>
      <c r="J79" s="6">
        <v>2000</v>
      </c>
      <c r="K79" s="5" t="s">
        <v>154</v>
      </c>
    </row>
    <row r="80" spans="1:14" ht="30" x14ac:dyDescent="0.25">
      <c r="C80" s="5" t="s">
        <v>109</v>
      </c>
      <c r="D80" s="5" t="s">
        <v>155</v>
      </c>
      <c r="E80" s="5" t="s">
        <v>107</v>
      </c>
      <c r="F80" s="8">
        <v>45332</v>
      </c>
      <c r="G80" s="6">
        <v>98000</v>
      </c>
      <c r="H80" s="6">
        <v>100000</v>
      </c>
      <c r="I80" s="6">
        <v>0.98</v>
      </c>
      <c r="J80" s="6">
        <v>7000</v>
      </c>
      <c r="K80" s="5" t="s">
        <v>151</v>
      </c>
    </row>
    <row r="81" spans="1:11" x14ac:dyDescent="0.25">
      <c r="C81" s="5" t="s">
        <v>111</v>
      </c>
      <c r="D81" s="5" t="s">
        <v>156</v>
      </c>
      <c r="E81" s="5" t="s">
        <v>99</v>
      </c>
      <c r="F81" s="8">
        <v>45156</v>
      </c>
      <c r="G81" s="6">
        <v>30000</v>
      </c>
      <c r="H81" s="6">
        <v>50000</v>
      </c>
      <c r="I81" s="6">
        <v>0.6</v>
      </c>
      <c r="J81" s="6">
        <v>1000</v>
      </c>
      <c r="K81" s="5" t="s">
        <v>154</v>
      </c>
    </row>
    <row r="82" spans="1:11" ht="30" x14ac:dyDescent="0.25">
      <c r="C82" s="5" t="s">
        <v>157</v>
      </c>
      <c r="D82" s="5" t="s">
        <v>158</v>
      </c>
      <c r="E82" s="5" t="s">
        <v>113</v>
      </c>
      <c r="F82" s="8">
        <v>44686</v>
      </c>
      <c r="G82" s="6">
        <v>150000</v>
      </c>
      <c r="H82" s="6">
        <v>120000</v>
      </c>
      <c r="I82" s="6">
        <v>1.25</v>
      </c>
      <c r="J82" s="6">
        <v>12000</v>
      </c>
      <c r="K82" s="5" t="s">
        <v>151</v>
      </c>
    </row>
    <row r="83" spans="1:11" x14ac:dyDescent="0.25">
      <c r="C83" s="5" t="s">
        <v>159</v>
      </c>
      <c r="D83" s="5" t="s">
        <v>160</v>
      </c>
      <c r="E83" s="5" t="s">
        <v>103</v>
      </c>
      <c r="F83" s="8">
        <v>45546</v>
      </c>
      <c r="G83" s="6">
        <v>65000</v>
      </c>
      <c r="H83" s="6">
        <v>80000</v>
      </c>
      <c r="I83" s="6">
        <v>0.81</v>
      </c>
      <c r="J83" s="6">
        <v>3000</v>
      </c>
      <c r="K83" s="5" t="s">
        <v>154</v>
      </c>
    </row>
    <row r="84" spans="1:11" ht="30" x14ac:dyDescent="0.25">
      <c r="C84" s="5" t="s">
        <v>161</v>
      </c>
      <c r="D84" s="5" t="s">
        <v>162</v>
      </c>
      <c r="E84" s="5" t="s">
        <v>107</v>
      </c>
      <c r="F84" s="8">
        <v>45097</v>
      </c>
      <c r="G84" s="6">
        <v>110000</v>
      </c>
      <c r="H84" s="6">
        <v>100000</v>
      </c>
      <c r="I84" s="6">
        <v>1.1000000000000001</v>
      </c>
      <c r="J84" s="6">
        <v>8000</v>
      </c>
      <c r="K84" s="5" t="s">
        <v>151</v>
      </c>
    </row>
    <row r="85" spans="1:11" ht="30" x14ac:dyDescent="0.25">
      <c r="C85" s="5" t="s">
        <v>97</v>
      </c>
      <c r="D85" s="5" t="s">
        <v>150</v>
      </c>
      <c r="E85" s="5" t="s">
        <v>99</v>
      </c>
      <c r="F85" s="8">
        <v>45303</v>
      </c>
      <c r="G85" s="6">
        <v>85000</v>
      </c>
      <c r="H85" s="6">
        <v>100000</v>
      </c>
      <c r="I85" s="6">
        <v>0.85</v>
      </c>
      <c r="J85" s="6">
        <v>5000</v>
      </c>
      <c r="K85" s="5" t="s">
        <v>151</v>
      </c>
    </row>
    <row r="87" spans="1:11" x14ac:dyDescent="0.25">
      <c r="F87">
        <f>WEEKDAY(F77,1)</f>
        <v>6</v>
      </c>
    </row>
    <row r="89" spans="1:11" x14ac:dyDescent="0.25">
      <c r="D89" t="s">
        <v>163</v>
      </c>
    </row>
    <row r="90" spans="1:11" ht="30" x14ac:dyDescent="0.25">
      <c r="A90" s="4" t="s">
        <v>164</v>
      </c>
      <c r="B90" s="4" t="s">
        <v>94</v>
      </c>
      <c r="C90" s="4" t="s">
        <v>165</v>
      </c>
      <c r="D90" s="7" t="s">
        <v>113</v>
      </c>
      <c r="E90" s="7" t="s">
        <v>166</v>
      </c>
      <c r="F90" s="7" t="s">
        <v>167</v>
      </c>
      <c r="G90" s="7" t="s">
        <v>168</v>
      </c>
      <c r="H90" s="7" t="s">
        <v>169</v>
      </c>
    </row>
    <row r="91" spans="1:11" x14ac:dyDescent="0.25">
      <c r="A91" s="5" t="s">
        <v>170</v>
      </c>
      <c r="B91" s="5" t="s">
        <v>99</v>
      </c>
      <c r="C91" s="5" t="s">
        <v>171</v>
      </c>
      <c r="D91" s="6">
        <v>120000</v>
      </c>
      <c r="E91" s="6">
        <v>25000</v>
      </c>
      <c r="F91" s="6">
        <v>50</v>
      </c>
      <c r="G91" s="6">
        <v>10000</v>
      </c>
      <c r="H91" s="6">
        <v>200</v>
      </c>
    </row>
    <row r="92" spans="1:11" x14ac:dyDescent="0.25">
      <c r="A92" s="5" t="s">
        <v>172</v>
      </c>
      <c r="B92" s="5" t="s">
        <v>99</v>
      </c>
      <c r="C92" s="5" t="s">
        <v>173</v>
      </c>
      <c r="D92" s="6">
        <v>140000</v>
      </c>
      <c r="E92" s="6">
        <v>30000</v>
      </c>
      <c r="F92" s="6">
        <v>50</v>
      </c>
      <c r="G92" s="6">
        <v>12000</v>
      </c>
      <c r="H92" s="6">
        <v>220</v>
      </c>
    </row>
    <row r="93" spans="1:11" x14ac:dyDescent="0.25">
      <c r="A93" s="5" t="s">
        <v>174</v>
      </c>
      <c r="B93" s="5" t="s">
        <v>103</v>
      </c>
      <c r="C93" s="5" t="s">
        <v>171</v>
      </c>
      <c r="D93" s="6">
        <v>90000</v>
      </c>
      <c r="E93" s="6">
        <v>18000</v>
      </c>
      <c r="F93" s="6">
        <v>30</v>
      </c>
      <c r="G93" s="6">
        <v>8000</v>
      </c>
      <c r="H93" s="6">
        <v>180</v>
      </c>
    </row>
    <row r="94" spans="1:11" x14ac:dyDescent="0.25">
      <c r="A94" s="5" t="s">
        <v>175</v>
      </c>
      <c r="B94" s="5" t="s">
        <v>103</v>
      </c>
      <c r="C94" s="5" t="s">
        <v>173</v>
      </c>
      <c r="D94" s="6">
        <v>110000</v>
      </c>
      <c r="E94" s="6">
        <v>22000</v>
      </c>
      <c r="F94" s="6">
        <v>30</v>
      </c>
      <c r="G94" s="6">
        <v>9000</v>
      </c>
      <c r="H94" s="6">
        <v>190</v>
      </c>
    </row>
    <row r="95" spans="1:11" x14ac:dyDescent="0.25">
      <c r="A95" s="5" t="s">
        <v>176</v>
      </c>
      <c r="B95" s="5" t="s">
        <v>113</v>
      </c>
      <c r="C95" s="5" t="s">
        <v>171</v>
      </c>
      <c r="D95" s="6">
        <v>180000</v>
      </c>
      <c r="E95" s="6">
        <v>40000</v>
      </c>
      <c r="F95" s="6">
        <v>40</v>
      </c>
      <c r="G95" s="6">
        <v>15000</v>
      </c>
      <c r="H95" s="6">
        <v>300</v>
      </c>
    </row>
    <row r="96" spans="1:11" x14ac:dyDescent="0.25">
      <c r="A96" s="5" t="s">
        <v>177</v>
      </c>
      <c r="B96" s="5" t="s">
        <v>113</v>
      </c>
      <c r="C96" s="5" t="s">
        <v>173</v>
      </c>
      <c r="D96" s="6">
        <v>200000</v>
      </c>
      <c r="E96" s="6">
        <v>50000</v>
      </c>
      <c r="F96" s="6">
        <v>40</v>
      </c>
      <c r="G96" s="6">
        <v>18000</v>
      </c>
      <c r="H96" s="6">
        <v>350</v>
      </c>
    </row>
    <row r="97" spans="1:8" x14ac:dyDescent="0.25">
      <c r="A97" s="5" t="s">
        <v>178</v>
      </c>
      <c r="B97" s="5" t="s">
        <v>107</v>
      </c>
      <c r="C97" s="5" t="s">
        <v>171</v>
      </c>
      <c r="D97" s="6">
        <v>130000</v>
      </c>
      <c r="E97" s="6">
        <v>27000</v>
      </c>
      <c r="F97" s="6">
        <v>25</v>
      </c>
      <c r="G97" s="6">
        <v>11000</v>
      </c>
      <c r="H97" s="6">
        <v>210</v>
      </c>
    </row>
    <row r="98" spans="1:8" x14ac:dyDescent="0.25">
      <c r="A98" s="5" t="s">
        <v>179</v>
      </c>
      <c r="B98" s="5" t="s">
        <v>107</v>
      </c>
      <c r="C98" s="5" t="s">
        <v>173</v>
      </c>
      <c r="D98" s="6">
        <v>150000</v>
      </c>
      <c r="E98" s="6">
        <v>32000</v>
      </c>
      <c r="F98" s="6">
        <v>25</v>
      </c>
      <c r="G98" s="6">
        <v>13000</v>
      </c>
      <c r="H98" s="6">
        <v>240</v>
      </c>
    </row>
    <row r="99" spans="1:8" x14ac:dyDescent="0.25">
      <c r="A99" s="5" t="s">
        <v>180</v>
      </c>
      <c r="B99" s="5" t="s">
        <v>99</v>
      </c>
      <c r="C99" s="5" t="s">
        <v>171</v>
      </c>
      <c r="D99" s="6">
        <v>170000</v>
      </c>
      <c r="E99" s="6">
        <v>38000</v>
      </c>
      <c r="F99" s="6">
        <v>50</v>
      </c>
      <c r="G99" s="6">
        <v>16000</v>
      </c>
      <c r="H99" s="6">
        <v>290</v>
      </c>
    </row>
    <row r="100" spans="1:8" x14ac:dyDescent="0.25">
      <c r="A100" s="5" t="s">
        <v>181</v>
      </c>
      <c r="B100" s="5" t="s">
        <v>103</v>
      </c>
      <c r="C100" s="5" t="s">
        <v>173</v>
      </c>
      <c r="D100" s="6">
        <v>125000</v>
      </c>
      <c r="E100" s="6">
        <v>24000</v>
      </c>
      <c r="F100" s="6">
        <v>30</v>
      </c>
      <c r="G100" s="6">
        <v>10000</v>
      </c>
      <c r="H100" s="6">
        <v>200</v>
      </c>
    </row>
    <row r="101" spans="1:8" x14ac:dyDescent="0.25">
      <c r="A101" s="5" t="s">
        <v>182</v>
      </c>
      <c r="B101" s="5" t="s">
        <v>113</v>
      </c>
      <c r="C101" s="5" t="s">
        <v>171</v>
      </c>
      <c r="D101" s="6">
        <v>220000</v>
      </c>
      <c r="E101" s="6">
        <v>60000</v>
      </c>
      <c r="F101" s="6">
        <v>40</v>
      </c>
      <c r="G101" s="6">
        <v>20000</v>
      </c>
      <c r="H101" s="6">
        <v>400</v>
      </c>
    </row>
    <row r="102" spans="1:8" x14ac:dyDescent="0.25">
      <c r="A102" s="5" t="s">
        <v>183</v>
      </c>
      <c r="B102" s="5" t="s">
        <v>107</v>
      </c>
      <c r="C102" s="5" t="s">
        <v>173</v>
      </c>
      <c r="D102" s="6">
        <v>190000</v>
      </c>
      <c r="E102" s="6">
        <v>45000</v>
      </c>
      <c r="F102" s="6">
        <v>25</v>
      </c>
      <c r="G102" s="6">
        <v>17000</v>
      </c>
      <c r="H102" s="6">
        <v>330</v>
      </c>
    </row>
    <row r="106" spans="1:8" x14ac:dyDescent="0.25">
      <c r="A106" t="s">
        <v>190</v>
      </c>
      <c r="B106" t="s">
        <v>191</v>
      </c>
      <c r="C106" t="s">
        <v>192</v>
      </c>
      <c r="D106" t="s">
        <v>186</v>
      </c>
      <c r="F106" s="11" t="s">
        <v>185</v>
      </c>
      <c r="G106">
        <f>SUM(G91:G105)</f>
        <v>159000</v>
      </c>
    </row>
    <row r="107" spans="1:8" x14ac:dyDescent="0.25">
      <c r="A107">
        <v>0</v>
      </c>
      <c r="B107">
        <v>10</v>
      </c>
      <c r="C107" t="str">
        <f>A107&amp;"-"&amp;B107</f>
        <v>0-10</v>
      </c>
      <c r="D107" s="12" t="s">
        <v>185</v>
      </c>
      <c r="F107" s="11"/>
    </row>
    <row r="108" spans="1:8" x14ac:dyDescent="0.25">
      <c r="A108">
        <v>10</v>
      </c>
      <c r="B108">
        <v>20</v>
      </c>
      <c r="C108" t="str">
        <f>A108&amp;"-"&amp;B108</f>
        <v>10-20</v>
      </c>
      <c r="D108" s="12">
        <v>44105</v>
      </c>
      <c r="E108" t="b">
        <f>ISNUMBER(D107)</f>
        <v>0</v>
      </c>
    </row>
    <row r="109" spans="1:8" x14ac:dyDescent="0.25">
      <c r="D109" s="12" t="s">
        <v>187</v>
      </c>
      <c r="E109" t="b">
        <f>ISTEXT(D107)</f>
        <v>1</v>
      </c>
    </row>
    <row r="110" spans="1:8" x14ac:dyDescent="0.25">
      <c r="D110" s="12" t="s">
        <v>188</v>
      </c>
    </row>
    <row r="111" spans="1:8" x14ac:dyDescent="0.25">
      <c r="D111" s="12" t="s">
        <v>189</v>
      </c>
      <c r="E111" t="b">
        <f>ISTEXT(D108)</f>
        <v>0</v>
      </c>
    </row>
    <row r="112" spans="1:8" x14ac:dyDescent="0.25">
      <c r="D112" s="10"/>
    </row>
    <row r="113" spans="1:9" x14ac:dyDescent="0.25">
      <c r="D113" s="10"/>
    </row>
    <row r="114" spans="1:9" x14ac:dyDescent="0.25">
      <c r="A114" t="s">
        <v>195</v>
      </c>
    </row>
    <row r="115" spans="1:9" ht="30" x14ac:dyDescent="0.25">
      <c r="A115" s="4" t="s">
        <v>196</v>
      </c>
      <c r="B115" s="4" t="s">
        <v>94</v>
      </c>
      <c r="C115" s="4" t="s">
        <v>197</v>
      </c>
      <c r="D115" s="4" t="s">
        <v>198</v>
      </c>
      <c r="E115" s="4" t="s">
        <v>199</v>
      </c>
      <c r="F115" s="4" t="s">
        <v>95</v>
      </c>
      <c r="G115" s="4" t="s">
        <v>113</v>
      </c>
      <c r="H115" s="4" t="s">
        <v>200</v>
      </c>
      <c r="I115" s="4" t="s">
        <v>199</v>
      </c>
    </row>
    <row r="116" spans="1:9" x14ac:dyDescent="0.25">
      <c r="A116" s="5" t="s">
        <v>97</v>
      </c>
      <c r="B116" s="5" t="s">
        <v>99</v>
      </c>
      <c r="C116" s="5" t="s">
        <v>201</v>
      </c>
      <c r="D116" s="5">
        <v>2</v>
      </c>
      <c r="E116" s="5">
        <v>10</v>
      </c>
      <c r="F116" s="5">
        <v>30000</v>
      </c>
      <c r="G116" s="5">
        <v>50</v>
      </c>
      <c r="H116" s="5">
        <v>65</v>
      </c>
      <c r="I116" s="5">
        <v>10</v>
      </c>
    </row>
    <row r="117" spans="1:9" x14ac:dyDescent="0.25">
      <c r="A117" s="5" t="s">
        <v>101</v>
      </c>
      <c r="B117" s="5" t="s">
        <v>99</v>
      </c>
      <c r="C117" s="5" t="s">
        <v>202</v>
      </c>
      <c r="D117" s="5">
        <v>3</v>
      </c>
      <c r="E117" s="5">
        <v>15</v>
      </c>
      <c r="F117" s="5">
        <v>35000</v>
      </c>
      <c r="G117" s="5">
        <v>60</v>
      </c>
      <c r="H117" s="5">
        <v>70</v>
      </c>
      <c r="I117" s="5">
        <v>15</v>
      </c>
    </row>
    <row r="118" spans="1:9" x14ac:dyDescent="0.25">
      <c r="A118" s="5" t="s">
        <v>105</v>
      </c>
      <c r="B118" s="5" t="s">
        <v>99</v>
      </c>
      <c r="C118" s="5" t="s">
        <v>201</v>
      </c>
      <c r="D118" s="5">
        <v>5</v>
      </c>
      <c r="E118" s="5">
        <v>20</v>
      </c>
      <c r="F118" s="5">
        <v>45000</v>
      </c>
      <c r="G118" s="5">
        <v>75</v>
      </c>
      <c r="H118" s="5">
        <v>82</v>
      </c>
      <c r="I118" s="5">
        <v>20</v>
      </c>
    </row>
    <row r="119" spans="1:9" x14ac:dyDescent="0.25">
      <c r="A119" s="5" t="s">
        <v>109</v>
      </c>
      <c r="B119" s="5" t="s">
        <v>103</v>
      </c>
      <c r="C119" s="5" t="s">
        <v>202</v>
      </c>
      <c r="D119" s="5">
        <v>2</v>
      </c>
      <c r="E119" s="5">
        <v>8</v>
      </c>
      <c r="F119" s="5">
        <v>28000</v>
      </c>
      <c r="G119" s="5">
        <v>45</v>
      </c>
      <c r="H119" s="5">
        <v>60</v>
      </c>
      <c r="I119" s="5">
        <v>8</v>
      </c>
    </row>
    <row r="120" spans="1:9" x14ac:dyDescent="0.25">
      <c r="A120" s="5" t="s">
        <v>111</v>
      </c>
      <c r="B120" s="5" t="s">
        <v>103</v>
      </c>
      <c r="C120" s="5" t="s">
        <v>201</v>
      </c>
      <c r="D120" s="5">
        <v>4</v>
      </c>
      <c r="E120" s="5">
        <v>12</v>
      </c>
      <c r="F120" s="5">
        <v>38000</v>
      </c>
      <c r="G120" s="5">
        <v>58</v>
      </c>
      <c r="H120" s="5">
        <v>72</v>
      </c>
      <c r="I120" s="5">
        <v>12</v>
      </c>
    </row>
    <row r="121" spans="1:9" x14ac:dyDescent="0.25">
      <c r="A121" s="5" t="s">
        <v>157</v>
      </c>
      <c r="B121" s="5" t="s">
        <v>103</v>
      </c>
      <c r="C121" s="5" t="s">
        <v>202</v>
      </c>
      <c r="D121" s="5">
        <v>6</v>
      </c>
      <c r="E121" s="5">
        <v>18</v>
      </c>
      <c r="F121" s="5">
        <v>48000</v>
      </c>
      <c r="G121" s="5">
        <v>78</v>
      </c>
      <c r="H121" s="5">
        <v>85</v>
      </c>
      <c r="I121" s="5">
        <v>18</v>
      </c>
    </row>
    <row r="122" spans="1:9" x14ac:dyDescent="0.25">
      <c r="A122" s="5" t="s">
        <v>159</v>
      </c>
      <c r="B122" s="5" t="s">
        <v>113</v>
      </c>
      <c r="C122" s="5" t="s">
        <v>201</v>
      </c>
      <c r="D122" s="5">
        <v>3</v>
      </c>
      <c r="E122" s="5">
        <v>14</v>
      </c>
      <c r="F122" s="5">
        <v>36000</v>
      </c>
      <c r="G122" s="5">
        <v>90</v>
      </c>
      <c r="H122" s="5">
        <v>80</v>
      </c>
      <c r="I122" s="5">
        <v>14</v>
      </c>
    </row>
    <row r="123" spans="1:9" x14ac:dyDescent="0.25">
      <c r="A123" s="5" t="s">
        <v>161</v>
      </c>
      <c r="B123" s="5" t="s">
        <v>113</v>
      </c>
      <c r="C123" s="5" t="s">
        <v>202</v>
      </c>
      <c r="D123" s="5">
        <v>5</v>
      </c>
      <c r="E123" s="5">
        <v>16</v>
      </c>
      <c r="F123" s="5">
        <v>42000</v>
      </c>
      <c r="G123" s="5">
        <v>110</v>
      </c>
      <c r="H123" s="5">
        <v>88</v>
      </c>
      <c r="I123" s="5">
        <v>16</v>
      </c>
    </row>
    <row r="124" spans="1:9" x14ac:dyDescent="0.25">
      <c r="A124" s="5" t="s">
        <v>203</v>
      </c>
      <c r="B124" s="5" t="s">
        <v>113</v>
      </c>
      <c r="C124" s="5" t="s">
        <v>201</v>
      </c>
      <c r="D124" s="5">
        <v>7</v>
      </c>
      <c r="E124" s="5">
        <v>22</v>
      </c>
      <c r="F124" s="5">
        <v>55000</v>
      </c>
      <c r="G124" s="5">
        <v>130</v>
      </c>
      <c r="H124" s="5">
        <v>95</v>
      </c>
      <c r="I124" s="5">
        <v>22</v>
      </c>
    </row>
    <row r="125" spans="1:9" x14ac:dyDescent="0.25">
      <c r="A125" s="5" t="s">
        <v>204</v>
      </c>
      <c r="B125" s="5" t="s">
        <v>107</v>
      </c>
      <c r="C125" s="5" t="s">
        <v>202</v>
      </c>
      <c r="D125" s="5">
        <v>2</v>
      </c>
      <c r="E125" s="5">
        <v>9</v>
      </c>
      <c r="F125" s="5">
        <v>31000</v>
      </c>
      <c r="G125" s="5">
        <v>55</v>
      </c>
      <c r="H125" s="5">
        <v>68</v>
      </c>
      <c r="I125" s="5">
        <v>9</v>
      </c>
    </row>
    <row r="126" spans="1:9" x14ac:dyDescent="0.25">
      <c r="A126" s="5" t="s">
        <v>205</v>
      </c>
      <c r="B126" s="5" t="s">
        <v>107</v>
      </c>
      <c r="C126" s="5" t="s">
        <v>201</v>
      </c>
      <c r="D126" s="5">
        <v>4</v>
      </c>
      <c r="E126" s="5">
        <v>13</v>
      </c>
      <c r="F126" s="5">
        <v>39000</v>
      </c>
      <c r="G126" s="5">
        <v>70</v>
      </c>
      <c r="H126" s="5">
        <v>75</v>
      </c>
      <c r="I126" s="5">
        <v>13</v>
      </c>
    </row>
    <row r="127" spans="1:9" x14ac:dyDescent="0.25">
      <c r="A127" s="5" t="s">
        <v>206</v>
      </c>
      <c r="B127" s="5" t="s">
        <v>107</v>
      </c>
      <c r="C127" s="5" t="s">
        <v>202</v>
      </c>
      <c r="D127" s="5">
        <v>6</v>
      </c>
      <c r="E127" s="5">
        <v>19</v>
      </c>
      <c r="F127" s="5">
        <v>50000</v>
      </c>
      <c r="G127" s="5">
        <v>85</v>
      </c>
      <c r="H127" s="5">
        <v>89</v>
      </c>
      <c r="I127" s="5">
        <v>19</v>
      </c>
    </row>
    <row r="129" spans="1:8" x14ac:dyDescent="0.25">
      <c r="A129" s="5" t="s">
        <v>227</v>
      </c>
    </row>
    <row r="130" spans="1:8" x14ac:dyDescent="0.25">
      <c r="B130" s="5" t="s">
        <v>207</v>
      </c>
      <c r="C130" s="5" t="s">
        <v>208</v>
      </c>
      <c r="D130" t="s">
        <v>209</v>
      </c>
    </row>
    <row r="131" spans="1:8" x14ac:dyDescent="0.25">
      <c r="B131" cm="1">
        <f t="array" ref="B131:B133">_xlfn._xlws.FILTER(H116:H127,B116:B127="IT")</f>
        <v>65</v>
      </c>
      <c r="C131" cm="1">
        <f t="array" ref="C131:C133">_xlfn._xlws.FILTER(H116:H127,B116:B127="HR")</f>
        <v>60</v>
      </c>
      <c r="D131" cm="1">
        <f t="array" ref="D131:D133">_xlfn._xlws.FILTER(H116:H127,B116:B127="Sales")</f>
        <v>80</v>
      </c>
    </row>
    <row r="132" spans="1:8" x14ac:dyDescent="0.25">
      <c r="B132">
        <v>70</v>
      </c>
      <c r="C132">
        <v>72</v>
      </c>
      <c r="D132">
        <v>88</v>
      </c>
    </row>
    <row r="133" spans="1:8" x14ac:dyDescent="0.25">
      <c r="B133">
        <v>82</v>
      </c>
      <c r="C133">
        <v>85</v>
      </c>
      <c r="D133">
        <v>95</v>
      </c>
    </row>
    <row r="135" spans="1:8" x14ac:dyDescent="0.25">
      <c r="A135" t="s">
        <v>228</v>
      </c>
    </row>
    <row r="136" spans="1:8" x14ac:dyDescent="0.25">
      <c r="B136" s="4"/>
      <c r="C136" s="4" t="s">
        <v>229</v>
      </c>
      <c r="D136" s="4" t="s">
        <v>230</v>
      </c>
      <c r="E136" s="4"/>
      <c r="F136" s="4"/>
      <c r="G136" s="4"/>
      <c r="H136" s="4"/>
    </row>
    <row r="137" spans="1:8" ht="15.75" thickBot="1" x14ac:dyDescent="0.3">
      <c r="B137" s="5" t="s">
        <v>99</v>
      </c>
      <c r="C137" s="5">
        <v>70</v>
      </c>
      <c r="D137" s="5">
        <v>82</v>
      </c>
      <c r="E137" s="5"/>
      <c r="F137" s="5"/>
      <c r="G137" s="5"/>
      <c r="H137" s="5"/>
    </row>
    <row r="138" spans="1:8" x14ac:dyDescent="0.25">
      <c r="B138" s="5" t="s">
        <v>99</v>
      </c>
      <c r="C138" s="5">
        <v>75</v>
      </c>
      <c r="D138" s="5">
        <v>85</v>
      </c>
      <c r="E138" s="5"/>
      <c r="F138" s="14"/>
      <c r="G138" s="14">
        <v>70</v>
      </c>
      <c r="H138" s="14">
        <v>82</v>
      </c>
    </row>
    <row r="139" spans="1:8" x14ac:dyDescent="0.25">
      <c r="B139" s="5" t="s">
        <v>99</v>
      </c>
      <c r="C139" s="5">
        <v>80</v>
      </c>
      <c r="D139" s="5">
        <v>88</v>
      </c>
      <c r="E139" s="5"/>
      <c r="F139" s="15">
        <v>70</v>
      </c>
      <c r="G139" s="15">
        <v>1</v>
      </c>
      <c r="H139" s="15"/>
    </row>
    <row r="140" spans="1:8" ht="15.75" thickBot="1" x14ac:dyDescent="0.3">
      <c r="B140" s="5" t="s">
        <v>103</v>
      </c>
      <c r="C140" s="5">
        <v>60</v>
      </c>
      <c r="D140" s="5">
        <v>72</v>
      </c>
      <c r="F140" s="13">
        <v>82</v>
      </c>
      <c r="G140" s="13">
        <v>0.9869225476269351</v>
      </c>
      <c r="H140" s="13">
        <v>1</v>
      </c>
    </row>
    <row r="141" spans="1:8" x14ac:dyDescent="0.25">
      <c r="B141" s="5" t="s">
        <v>103</v>
      </c>
      <c r="C141" s="5">
        <v>65</v>
      </c>
      <c r="D141" s="5">
        <v>75</v>
      </c>
    </row>
    <row r="142" spans="1:8" x14ac:dyDescent="0.25">
      <c r="B142" s="5" t="s">
        <v>103</v>
      </c>
      <c r="C142" s="5">
        <v>68</v>
      </c>
      <c r="D142" s="5">
        <v>78</v>
      </c>
    </row>
    <row r="143" spans="1:8" x14ac:dyDescent="0.25">
      <c r="B143" s="5" t="s">
        <v>113</v>
      </c>
      <c r="C143" s="5">
        <v>85</v>
      </c>
      <c r="D143" s="5">
        <v>88</v>
      </c>
    </row>
    <row r="144" spans="1:8" x14ac:dyDescent="0.25">
      <c r="B144" s="5" t="s">
        <v>113</v>
      </c>
      <c r="C144" s="5">
        <v>90</v>
      </c>
      <c r="D144" s="5">
        <v>92</v>
      </c>
    </row>
    <row r="145" spans="1:8" x14ac:dyDescent="0.25">
      <c r="B145" s="5" t="s">
        <v>113</v>
      </c>
      <c r="C145" s="5">
        <v>95</v>
      </c>
      <c r="D145" s="5">
        <v>96</v>
      </c>
    </row>
    <row r="147" spans="1:8" x14ac:dyDescent="0.25">
      <c r="A147" t="s">
        <v>236</v>
      </c>
    </row>
    <row r="148" spans="1:8" x14ac:dyDescent="0.25">
      <c r="C148" t="s">
        <v>237</v>
      </c>
      <c r="D148" t="s">
        <v>238</v>
      </c>
    </row>
    <row r="149" spans="1:8" ht="15.75" thickBot="1" x14ac:dyDescent="0.3">
      <c r="B149" t="s">
        <v>99</v>
      </c>
      <c r="C149" cm="1">
        <f t="array" ref="C149">SUM(_xlfn._xlws.FILTER(C137:C145,B137:B145="IT"))</f>
        <v>225</v>
      </c>
      <c r="D149" cm="1">
        <f t="array" ref="D149">SUM(_xlfn._xlws.FILTER(D137:D145,B137:B145="IT"))</f>
        <v>255</v>
      </c>
    </row>
    <row r="150" spans="1:8" x14ac:dyDescent="0.25">
      <c r="B150" t="s">
        <v>103</v>
      </c>
      <c r="C150" cm="1">
        <f t="array" ref="C150">SUM(_xlfn._xlws.FILTER(C137:C145,B137:B145="HR"))</f>
        <v>193</v>
      </c>
      <c r="D150" cm="1">
        <f t="array" ref="D150">SUM(_xlfn._xlws.FILTER(D137:D145,B137:B145="HR"))</f>
        <v>225</v>
      </c>
      <c r="F150" s="14"/>
      <c r="G150" s="14" t="s">
        <v>229</v>
      </c>
      <c r="H150" s="14" t="s">
        <v>230</v>
      </c>
    </row>
    <row r="151" spans="1:8" x14ac:dyDescent="0.25">
      <c r="B151" t="s">
        <v>113</v>
      </c>
      <c r="C151" cm="1">
        <f t="array" ref="C151">SUM(_xlfn._xlws.FILTER(C137:C145,B137:B145="Sales"))</f>
        <v>270</v>
      </c>
      <c r="D151" cm="1">
        <f t="array" ref="D151">SUM(_xlfn._xlws.FILTER(D137:D145,B137:B145="Sales"))</f>
        <v>276</v>
      </c>
      <c r="F151" s="15" t="s">
        <v>229</v>
      </c>
      <c r="G151" s="15">
        <f>VARP(Sheet1!$C$137:$C$145)</f>
        <v>125.58024691358025</v>
      </c>
      <c r="H151" s="15"/>
    </row>
    <row r="152" spans="1:8" ht="15.75" thickBot="1" x14ac:dyDescent="0.3">
      <c r="F152" s="13" t="s">
        <v>230</v>
      </c>
      <c r="G152" s="13">
        <v>82.444444444444443</v>
      </c>
      <c r="H152" s="13">
        <f>VARP(Sheet1!$D$137:$D$145)</f>
        <v>56.222222222222221</v>
      </c>
    </row>
  </sheetData>
  <conditionalFormatting sqref="C77:D85">
    <cfRule type="duplicateValues" dxfId="14" priority="6"/>
  </conditionalFormatting>
  <conditionalFormatting sqref="E77:E85">
    <cfRule type="containsText" dxfId="13" priority="5" stopIfTrue="1" operator="containsText" text="HR">
      <formula>NOT(ISERROR(SEARCH("HR",E77)))</formula>
    </cfRule>
  </conditionalFormatting>
  <conditionalFormatting sqref="F62:F67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{F60FF99D-8624-40D2-96E9-70FF551CC8C6}</x14:id>
        </ext>
      </extLst>
    </cfRule>
  </conditionalFormatting>
  <conditionalFormatting sqref="F77:F85">
    <cfRule type="expression" dxfId="12" priority="1">
      <formula>WEEKDAY(F$77,2)&gt;5</formula>
    </cfRule>
    <cfRule type="expression" dxfId="11" priority="2" stopIfTrue="1">
      <formula>WEEKDAY($F$77,2)&gt;5</formula>
    </cfRule>
    <cfRule type="expression" dxfId="10" priority="3">
      <formula>$F$77=TODAY()</formula>
    </cfRule>
    <cfRule type="iconSet" priority="1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77:G85">
    <cfRule type="top10" priority="11" rank="10"/>
  </conditionalFormatting>
  <conditionalFormatting sqref="H77:H85">
    <cfRule type="top10" dxfId="9" priority="16" rank="2"/>
    <cfRule type="top10" dxfId="8" priority="17" percent="1" rank="20"/>
    <cfRule type="colorScale" priority="18">
      <colorScale>
        <cfvo type="num" val="5000"/>
        <cfvo type="num" val="15000"/>
        <color rgb="FFFF7128"/>
        <color rgb="FFFFEF9C"/>
      </colorScale>
    </cfRule>
  </conditionalFormatting>
  <conditionalFormatting sqref="I77:I85">
    <cfRule type="iconSet" priority="14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I80">
    <cfRule type="iconSet" priority="15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77:J85">
    <cfRule type="iconSet" priority="19">
      <iconSet iconSet="3Arrows">
        <cfvo type="percent" val="0"/>
        <cfvo type="percent" val="33"/>
        <cfvo type="percent" val="67"/>
      </iconSet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{E66E1E5F-9A18-4AC7-AD97-D04ACDE2B022}</x14:id>
        </ext>
      </extLst>
    </cfRule>
    <cfRule type="cellIs" dxfId="7" priority="21" operator="equal">
      <formula>5000</formula>
    </cfRule>
    <cfRule type="cellIs" dxfId="6" priority="22" operator="lessThan">
      <formula>5000</formula>
    </cfRule>
    <cfRule type="cellIs" dxfId="5" priority="23" operator="greaterThan">
      <formula>5000</formula>
    </cfRule>
    <cfRule type="cellIs" dxfId="4" priority="24" operator="greaterThan">
      <formula>5000</formula>
    </cfRule>
  </conditionalFormatting>
  <conditionalFormatting sqref="K77:K85">
    <cfRule type="containsText" dxfId="3" priority="7" operator="containsText" text="Pending">
      <formula>NOT(ISERROR(SEARCH("Pending",K77)))</formula>
    </cfRule>
    <cfRule type="containsText" dxfId="2" priority="8" operator="containsText" text="Completed">
      <formula>NOT(ISERROR(SEARCH("Completed",K77)))</formula>
    </cfRule>
    <cfRule type="expression" dxfId="1" priority="9">
      <formula>"""Pending"""</formula>
    </cfRule>
    <cfRule type="expression" dxfId="0" priority="10">
      <formula>"Pending"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0FF99D-8624-40D2-96E9-70FF551CC8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F62:F67</xm:sqref>
        </x14:conditionalFormatting>
        <x14:conditionalFormatting xmlns:xm="http://schemas.microsoft.com/office/excel/2006/main">
          <x14:cfRule type="iconSet" priority="13" id="{F0DCF6FA-E3C7-44A9-B841-90A86146C74E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I77:I85</xm:sqref>
        </x14:conditionalFormatting>
        <x14:conditionalFormatting xmlns:xm="http://schemas.microsoft.com/office/excel/2006/main">
          <x14:cfRule type="dataBar" id="{E66E1E5F-9A18-4AC7-AD97-D04ACDE2B0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J77:J85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2E34-82D4-4F1D-8995-CFA8ECC7F695}">
  <dimension ref="A1"/>
  <sheetViews>
    <sheetView workbookViewId="0">
      <selection activeCell="S25" sqref="S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Sheet5</vt:lpstr>
      <vt:lpstr>Sheet6</vt:lpstr>
      <vt:lpstr>Sheet8</vt:lpstr>
      <vt:lpstr>Sheet9</vt:lpstr>
      <vt:lpstr>Sheet10</vt:lpstr>
      <vt:lpstr>Sheet11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23691A32J0@MITS.COM</dc:creator>
  <cp:lastModifiedBy>23691A32J0@MITS.COM</cp:lastModifiedBy>
  <dcterms:created xsi:type="dcterms:W3CDTF">2026-06-01T04:28:07Z</dcterms:created>
  <dcterms:modified xsi:type="dcterms:W3CDTF">2026-06-05T07:28:51Z</dcterms:modified>
</cp:coreProperties>
</file>