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F4EE1F8A-5642-461B-B798-FE4DD7829678}" xr6:coauthVersionLast="47" xr6:coauthVersionMax="47" xr10:uidLastSave="{00000000-0000-0000-0000-000000000000}"/>
  <bookViews>
    <workbookView xWindow="-120" yWindow="-120" windowWidth="29040" windowHeight="15720" xr2:uid="{86A7C6A2-63D0-485F-879E-11A0484E0D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1" l="1"/>
  <c r="K17" i="1"/>
  <c r="J17" i="1"/>
  <c r="I17" i="1"/>
  <c r="F13" i="1"/>
  <c r="G17" i="1"/>
  <c r="E18" i="1"/>
  <c r="E17" i="1"/>
  <c r="I27" i="1"/>
  <c r="H27" i="1"/>
  <c r="G27" i="1"/>
  <c r="D27" i="1"/>
  <c r="E27" i="1"/>
  <c r="F27" i="1"/>
  <c r="E23" i="1"/>
  <c r="D23" i="1"/>
  <c r="D24" i="1"/>
  <c r="C23" i="1"/>
  <c r="B23" i="1"/>
  <c r="J10" i="1"/>
  <c r="G13" i="1"/>
  <c r="K10" i="1"/>
  <c r="B19" i="1"/>
  <c r="B18" i="1"/>
  <c r="B16" i="1"/>
  <c r="E16" i="1"/>
  <c r="F16" i="1"/>
  <c r="D16" i="1"/>
  <c r="C16" i="1"/>
  <c r="A10" i="1"/>
  <c r="I13" i="1"/>
  <c r="I12" i="1"/>
  <c r="B10" i="1"/>
  <c r="C10" i="1" s="1"/>
  <c r="A11" i="1"/>
  <c r="G10" i="1" s="1"/>
  <c r="B3" i="1"/>
  <c r="O4" i="1"/>
  <c r="O5" i="1"/>
  <c r="O6" i="1"/>
  <c r="O7" i="1"/>
  <c r="O3" i="1"/>
  <c r="N4" i="1"/>
  <c r="N5" i="1"/>
  <c r="N6" i="1"/>
  <c r="N7" i="1"/>
  <c r="N3" i="1"/>
  <c r="M4" i="1"/>
  <c r="M5" i="1"/>
  <c r="M6" i="1"/>
  <c r="M7" i="1"/>
  <c r="M3" i="1"/>
  <c r="L4" i="1"/>
  <c r="L5" i="1"/>
  <c r="L6" i="1"/>
  <c r="L7" i="1"/>
  <c r="L3" i="1"/>
  <c r="J5" i="1"/>
  <c r="J6" i="1"/>
  <c r="J7" i="1"/>
  <c r="J4" i="1"/>
  <c r="B7" i="1"/>
  <c r="B4" i="1"/>
  <c r="B5" i="1"/>
  <c r="B6" i="1"/>
  <c r="I10" i="1" l="1"/>
  <c r="H10" i="1"/>
  <c r="F10" i="1"/>
  <c r="E10" i="1"/>
  <c r="D10" i="1"/>
  <c r="C5" i="1"/>
  <c r="C3" i="1"/>
  <c r="C7" i="1"/>
  <c r="C6" i="1"/>
  <c r="C4" i="1"/>
  <c r="H5" i="1"/>
  <c r="H4" i="1"/>
  <c r="D7" i="1"/>
  <c r="G7" i="1" s="1"/>
  <c r="I3" i="1" l="1"/>
  <c r="D3" i="1"/>
  <c r="G3" i="1" s="1"/>
  <c r="I4" i="1"/>
  <c r="I6" i="1"/>
  <c r="E7" i="1"/>
  <c r="F7" i="1" s="1"/>
  <c r="E3" i="1"/>
  <c r="H3" i="1"/>
  <c r="F3" i="1"/>
  <c r="H6" i="1"/>
  <c r="D5" i="1"/>
  <c r="G5" i="1" s="1"/>
  <c r="E5" i="1"/>
  <c r="F5" i="1" s="1"/>
  <c r="H7" i="1"/>
  <c r="I7" i="1"/>
  <c r="D4" i="1"/>
  <c r="G4" i="1" s="1"/>
  <c r="I5" i="1"/>
  <c r="D6" i="1"/>
  <c r="G6" i="1" s="1"/>
  <c r="J3" i="1" l="1"/>
  <c r="F4" i="1"/>
  <c r="E6" i="1"/>
  <c r="F6" i="1"/>
  <c r="E4" i="1"/>
</calcChain>
</file>

<file path=xl/sharedStrings.xml><?xml version="1.0" encoding="utf-8"?>
<sst xmlns="http://schemas.openxmlformats.org/spreadsheetml/2006/main" count="79" uniqueCount="70">
  <si>
    <t>Round</t>
  </si>
  <si>
    <t>root</t>
  </si>
  <si>
    <t>min</t>
  </si>
  <si>
    <t>max</t>
  </si>
  <si>
    <t>sum</t>
  </si>
  <si>
    <t>function in function</t>
  </si>
  <si>
    <t>average</t>
  </si>
  <si>
    <t>median</t>
  </si>
  <si>
    <t>rank</t>
  </si>
  <si>
    <t>left</t>
  </si>
  <si>
    <t>pre define functions</t>
  </si>
  <si>
    <t>data</t>
  </si>
  <si>
    <t>text_data</t>
  </si>
  <si>
    <t>vishnu</t>
  </si>
  <si>
    <t>sunil</t>
  </si>
  <si>
    <t>siva ram</t>
  </si>
  <si>
    <t>shan</t>
  </si>
  <si>
    <t>vivekanan</t>
  </si>
  <si>
    <t>right</t>
  </si>
  <si>
    <t>length</t>
  </si>
  <si>
    <t>mid</t>
  </si>
  <si>
    <t>Date</t>
  </si>
  <si>
    <t>today</t>
  </si>
  <si>
    <t>year</t>
  </si>
  <si>
    <t>month</t>
  </si>
  <si>
    <t>day</t>
  </si>
  <si>
    <t>networkdays</t>
  </si>
  <si>
    <t>apple</t>
  </si>
  <si>
    <t>eomonth</t>
  </si>
  <si>
    <t>weekday</t>
  </si>
  <si>
    <t>datedif</t>
  </si>
  <si>
    <t>text functions</t>
  </si>
  <si>
    <t>vishnu kalagotla</t>
  </si>
  <si>
    <t>find</t>
  </si>
  <si>
    <t>replace</t>
  </si>
  <si>
    <t>substitute</t>
  </si>
  <si>
    <t>search</t>
  </si>
  <si>
    <t>Mathematical</t>
  </si>
  <si>
    <t>product</t>
  </si>
  <si>
    <t>round</t>
  </si>
  <si>
    <t>mod</t>
  </si>
  <si>
    <t>factorial</t>
  </si>
  <si>
    <t>color</t>
  </si>
  <si>
    <t>value</t>
  </si>
  <si>
    <t>red</t>
  </si>
  <si>
    <t>blue</t>
  </si>
  <si>
    <t>yellow</t>
  </si>
  <si>
    <t>region</t>
  </si>
  <si>
    <t>ap</t>
  </si>
  <si>
    <t>t</t>
  </si>
  <si>
    <t>mh</t>
  </si>
  <si>
    <t>sumif</t>
  </si>
  <si>
    <t>sumifs</t>
  </si>
  <si>
    <t>averageif</t>
  </si>
  <si>
    <t>averageifs</t>
  </si>
  <si>
    <t>va</t>
  </si>
  <si>
    <t>rd</t>
  </si>
  <si>
    <t>ha</t>
  </si>
  <si>
    <t>n</t>
  </si>
  <si>
    <t>textjoin</t>
  </si>
  <si>
    <t xml:space="preserve">it is used to add delimiter with text </t>
  </si>
  <si>
    <t>upper</t>
  </si>
  <si>
    <t>convert to upper case</t>
  </si>
  <si>
    <t>lower</t>
  </si>
  <si>
    <t>lower case</t>
  </si>
  <si>
    <t>proper</t>
  </si>
  <si>
    <t>first letter capital</t>
  </si>
  <si>
    <t>find  and searh diff</t>
  </si>
  <si>
    <t>both are same but search() is not case sensitive</t>
  </si>
  <si>
    <t>convert text to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</si>
</sst>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D76E06-8105-474A-96AF-28B9222F75C4}" name="Table1" displayName="Table1" ref="A26:C31" totalsRowShown="0">
  <autoFilter ref="A26:C31" xr:uid="{A3D76E06-8105-474A-96AF-28B9222F75C4}"/>
  <tableColumns count="3">
    <tableColumn id="1" xr3:uid="{AECE2AF6-6184-4855-A501-AAA53F572103}" name="region"/>
    <tableColumn id="2" xr3:uid="{07C5F6B2-A219-4542-9A8E-D65DBD86753B}" name="color"/>
    <tableColumn id="3" xr3:uid="{31A390ED-7F5D-4D0F-BA34-F123E32ACD6C}" name="value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848-2324-46A4-AE2F-51577D596BDB}">
  <dimension ref="A1:O31"/>
  <sheetViews>
    <sheetView tabSelected="1" topLeftCell="A4" zoomScale="160" zoomScaleNormal="160" workbookViewId="0">
      <selection activeCell="G20" sqref="G20"/>
    </sheetView>
  </sheetViews>
  <sheetFormatPr defaultRowHeight="15" x14ac:dyDescent="0.25"/>
  <cols>
    <col min="1" max="1" width="19.28515625" bestFit="1" customWidth="1"/>
    <col min="2" max="2" width="10.7109375" bestFit="1" customWidth="1"/>
    <col min="3" max="3" width="16.5703125" bestFit="1" customWidth="1"/>
    <col min="4" max="4" width="16" bestFit="1" customWidth="1"/>
    <col min="6" max="6" width="12.7109375" bestFit="1" customWidth="1"/>
    <col min="7" max="7" width="43.7109375" bestFit="1" customWidth="1"/>
    <col min="8" max="8" width="10.7109375" bestFit="1" customWidth="1"/>
    <col min="9" max="9" width="20.28515625" bestFit="1" customWidth="1"/>
    <col min="10" max="10" width="15.42578125" bestFit="1" customWidth="1"/>
  </cols>
  <sheetData>
    <row r="1" spans="1:15" x14ac:dyDescent="0.25">
      <c r="A1" s="1" t="s">
        <v>10</v>
      </c>
    </row>
    <row r="2" spans="1:15" x14ac:dyDescent="0.25">
      <c r="A2" t="s">
        <v>11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12</v>
      </c>
      <c r="L2" s="1" t="s">
        <v>9</v>
      </c>
      <c r="M2" s="1" t="s">
        <v>18</v>
      </c>
      <c r="N2" s="1" t="s">
        <v>19</v>
      </c>
      <c r="O2" t="s">
        <v>20</v>
      </c>
    </row>
    <row r="3" spans="1:15" x14ac:dyDescent="0.25">
      <c r="A3">
        <v>83.242400000000004</v>
      </c>
      <c r="B3">
        <f>ROUND(A3,1)</f>
        <v>83.2</v>
      </c>
      <c r="C3">
        <f>SQRT(B3)</f>
        <v>9.1214034007931044</v>
      </c>
      <c r="D3">
        <f>MIN(A3:C3)</f>
        <v>9.1214034007931044</v>
      </c>
      <c r="E3">
        <f>MAX(A3:D3)</f>
        <v>83.242400000000004</v>
      </c>
      <c r="F3">
        <f>SUM(A3:E3)</f>
        <v>267.92760680158619</v>
      </c>
      <c r="G3">
        <f>SQRT(ROUND(D3,2))</f>
        <v>3.0199337741082997</v>
      </c>
      <c r="H3">
        <f>AVERAGE(A3:C3)</f>
        <v>58.521267800264376</v>
      </c>
      <c r="I3">
        <f>MEDIAN(A3:C3)</f>
        <v>83.2</v>
      </c>
      <c r="J3">
        <f>RANK(83.2,A3:F3)</f>
        <v>4</v>
      </c>
      <c r="K3" t="s">
        <v>13</v>
      </c>
      <c r="L3" t="str">
        <f>LEFT(K3,3)</f>
        <v>vis</v>
      </c>
      <c r="M3" t="str">
        <f>RIGHT(K3,3)</f>
        <v>hnu</v>
      </c>
      <c r="N3">
        <f>LEN(K3)</f>
        <v>6</v>
      </c>
      <c r="O3" t="str">
        <f>MID(K3,2,4)</f>
        <v>ishn</v>
      </c>
    </row>
    <row r="4" spans="1:15" x14ac:dyDescent="0.25">
      <c r="A4">
        <v>23.356449999999999</v>
      </c>
      <c r="B4">
        <f t="shared" ref="B4:B7" si="0">ROUND(A4,2)</f>
        <v>23.36</v>
      </c>
      <c r="C4">
        <f t="shared" ref="C4:C7" si="1">SQRT(B4)</f>
        <v>4.8332183894378291</v>
      </c>
      <c r="D4">
        <f t="shared" ref="D4:D7" si="2">MIN(A4:C4)</f>
        <v>4.8332183894378291</v>
      </c>
      <c r="E4">
        <f>MAX(A4:D4)</f>
        <v>23.36</v>
      </c>
      <c r="F4">
        <f t="shared" ref="F4:F7" si="3">SUM(A4:E4)</f>
        <v>79.742886778875658</v>
      </c>
      <c r="G4">
        <f t="shared" ref="G4:G7" si="4">SQRT(ROUND(D4,2))</f>
        <v>2.1977260975835913</v>
      </c>
      <c r="H4">
        <f t="shared" ref="H4:H7" si="5">AVERAGE(A4:C4)</f>
        <v>17.183222796479274</v>
      </c>
      <c r="I4">
        <f t="shared" ref="I4:I7" si="6">MEDIAN(A4:C4)</f>
        <v>23.356449999999999</v>
      </c>
      <c r="J4">
        <f>RANK(C4,A4:F4)</f>
        <v>5</v>
      </c>
      <c r="K4" t="s">
        <v>14</v>
      </c>
      <c r="L4" t="str">
        <f t="shared" ref="L4:L7" si="7">LEFT(K4,3)</f>
        <v>sun</v>
      </c>
      <c r="M4" t="str">
        <f t="shared" ref="M4:M7" si="8">RIGHT(K4,3)</f>
        <v>nil</v>
      </c>
      <c r="N4">
        <f t="shared" ref="N4:N7" si="9">LEN(K4)</f>
        <v>5</v>
      </c>
      <c r="O4" t="str">
        <f t="shared" ref="O4:O7" si="10">MID(K4,2,4)</f>
        <v>unil</v>
      </c>
    </row>
    <row r="5" spans="1:15" x14ac:dyDescent="0.25">
      <c r="A5">
        <v>345.67450000000002</v>
      </c>
      <c r="B5">
        <f t="shared" si="0"/>
        <v>345.67</v>
      </c>
      <c r="C5">
        <f t="shared" si="1"/>
        <v>18.592202666709504</v>
      </c>
      <c r="D5">
        <f t="shared" si="2"/>
        <v>18.592202666709504</v>
      </c>
      <c r="E5">
        <f t="shared" ref="E5:E7" si="11">MAX(A5:D5)</f>
        <v>345.67450000000002</v>
      </c>
      <c r="F5">
        <f t="shared" si="3"/>
        <v>1074.2034053334189</v>
      </c>
      <c r="G5">
        <f t="shared" si="4"/>
        <v>4.3116122274620201</v>
      </c>
      <c r="H5">
        <f t="shared" si="5"/>
        <v>236.64556755556984</v>
      </c>
      <c r="I5">
        <f t="shared" si="6"/>
        <v>345.67</v>
      </c>
      <c r="J5">
        <f t="shared" ref="J5:J7" si="12">RANK(C5,A5:F5)</f>
        <v>5</v>
      </c>
      <c r="K5" t="s">
        <v>15</v>
      </c>
      <c r="L5" t="str">
        <f t="shared" si="7"/>
        <v>siv</v>
      </c>
      <c r="M5" t="str">
        <f t="shared" si="8"/>
        <v>ram</v>
      </c>
      <c r="N5">
        <f t="shared" si="9"/>
        <v>8</v>
      </c>
      <c r="O5" t="str">
        <f t="shared" si="10"/>
        <v xml:space="preserve">iva </v>
      </c>
    </row>
    <row r="6" spans="1:15" x14ac:dyDescent="0.25">
      <c r="A6">
        <v>54.875</v>
      </c>
      <c r="B6">
        <f t="shared" si="0"/>
        <v>54.88</v>
      </c>
      <c r="C6">
        <f t="shared" si="1"/>
        <v>7.4081036709808537</v>
      </c>
      <c r="D6">
        <f t="shared" si="2"/>
        <v>7.4081036709808537</v>
      </c>
      <c r="E6">
        <f t="shared" si="11"/>
        <v>54.88</v>
      </c>
      <c r="F6">
        <f t="shared" si="3"/>
        <v>179.45120734196169</v>
      </c>
      <c r="G6">
        <f t="shared" si="4"/>
        <v>2.7221315177632399</v>
      </c>
      <c r="H6">
        <f t="shared" si="5"/>
        <v>39.054367890326951</v>
      </c>
      <c r="I6">
        <f t="shared" si="6"/>
        <v>54.875</v>
      </c>
      <c r="J6">
        <f t="shared" si="12"/>
        <v>5</v>
      </c>
      <c r="K6" t="s">
        <v>16</v>
      </c>
      <c r="L6" t="str">
        <f t="shared" si="7"/>
        <v>sha</v>
      </c>
      <c r="M6" t="str">
        <f t="shared" si="8"/>
        <v>han</v>
      </c>
      <c r="N6">
        <f t="shared" si="9"/>
        <v>4</v>
      </c>
      <c r="O6" t="str">
        <f t="shared" si="10"/>
        <v>han</v>
      </c>
    </row>
    <row r="7" spans="1:15" x14ac:dyDescent="0.25">
      <c r="A7">
        <v>34.564</v>
      </c>
      <c r="B7">
        <f t="shared" si="0"/>
        <v>34.56</v>
      </c>
      <c r="C7">
        <f t="shared" si="1"/>
        <v>5.8787753826796276</v>
      </c>
      <c r="D7">
        <f t="shared" si="2"/>
        <v>5.8787753826796276</v>
      </c>
      <c r="E7">
        <f t="shared" si="11"/>
        <v>34.564</v>
      </c>
      <c r="F7">
        <f t="shared" si="3"/>
        <v>115.44555076535926</v>
      </c>
      <c r="G7">
        <f t="shared" si="4"/>
        <v>2.4248711305964283</v>
      </c>
      <c r="H7">
        <f t="shared" si="5"/>
        <v>25.000925127559878</v>
      </c>
      <c r="I7">
        <f t="shared" si="6"/>
        <v>34.56</v>
      </c>
      <c r="J7">
        <f t="shared" si="12"/>
        <v>5</v>
      </c>
      <c r="K7" t="s">
        <v>17</v>
      </c>
      <c r="L7" t="str">
        <f t="shared" si="7"/>
        <v>viv</v>
      </c>
      <c r="M7" t="str">
        <f t="shared" si="8"/>
        <v>nan</v>
      </c>
      <c r="N7">
        <f t="shared" si="9"/>
        <v>9</v>
      </c>
      <c r="O7" t="str">
        <f t="shared" si="10"/>
        <v>ivek</v>
      </c>
    </row>
    <row r="9" spans="1:15" x14ac:dyDescent="0.25">
      <c r="A9" s="1" t="s">
        <v>21</v>
      </c>
      <c r="B9" s="1" t="s">
        <v>22</v>
      </c>
      <c r="C9" s="1" t="s">
        <v>23</v>
      </c>
      <c r="D9" s="1" t="s">
        <v>24</v>
      </c>
      <c r="E9" s="1" t="s">
        <v>25</v>
      </c>
      <c r="F9" s="1" t="s">
        <v>29</v>
      </c>
      <c r="G9" s="1" t="s">
        <v>26</v>
      </c>
      <c r="H9" s="1" t="s">
        <v>28</v>
      </c>
      <c r="I9" s="1" t="s">
        <v>30</v>
      </c>
    </row>
    <row r="10" spans="1:15" x14ac:dyDescent="0.25">
      <c r="A10" s="2">
        <f>DATE(2026,5,21)</f>
        <v>46163</v>
      </c>
      <c r="B10" s="2">
        <f ca="1">TODAY()</f>
        <v>46174</v>
      </c>
      <c r="C10">
        <f ca="1">YEAR(B10)</f>
        <v>2026</v>
      </c>
      <c r="D10">
        <f ca="1">MONTH(B10)</f>
        <v>6</v>
      </c>
      <c r="E10">
        <f ca="1">DAY(B10)</f>
        <v>1</v>
      </c>
      <c r="F10">
        <f ca="1">WEEKDAY(B10)</f>
        <v>2</v>
      </c>
      <c r="G10">
        <f ca="1">NETWORKDAYS(A10,A11,2)</f>
        <v>8</v>
      </c>
      <c r="H10" s="2">
        <f ca="1">EOMONTH(B10,0)</f>
        <v>46203</v>
      </c>
      <c r="I10">
        <f ca="1">DATEDIF(A10,B10,"D")</f>
        <v>11</v>
      </c>
      <c r="J10">
        <f ca="1">DATEDIF(G13,TODAY(),"Y")</f>
        <v>19</v>
      </c>
      <c r="K10">
        <f ca="1">DATEDIF(F13,TODAY(),"Y")</f>
        <v>22</v>
      </c>
    </row>
    <row r="11" spans="1:15" x14ac:dyDescent="0.25">
      <c r="A11" s="2">
        <f ca="1">TODAY()</f>
        <v>46174</v>
      </c>
    </row>
    <row r="12" spans="1:15" x14ac:dyDescent="0.25">
      <c r="H12" t="s">
        <v>27</v>
      </c>
      <c r="I12" t="str">
        <f>LEFT(H12,3)</f>
        <v>app</v>
      </c>
    </row>
    <row r="13" spans="1:15" x14ac:dyDescent="0.25">
      <c r="F13" s="2">
        <f>DATE(2004,3,15)</f>
        <v>38061</v>
      </c>
      <c r="G13" s="2">
        <f>DATE(2006,8,26)</f>
        <v>38955</v>
      </c>
      <c r="I13" t="str">
        <f>RIGHT(H12,3)</f>
        <v>ple</v>
      </c>
    </row>
    <row r="15" spans="1:15" x14ac:dyDescent="0.25">
      <c r="A15" s="1" t="s">
        <v>31</v>
      </c>
      <c r="B15" s="1" t="s">
        <v>33</v>
      </c>
      <c r="C15" s="1" t="s">
        <v>34</v>
      </c>
      <c r="D15" s="1" t="s">
        <v>35</v>
      </c>
      <c r="E15" s="1" t="s">
        <v>36</v>
      </c>
      <c r="F15" s="1" t="s">
        <v>20</v>
      </c>
      <c r="G15" s="1" t="s">
        <v>59</v>
      </c>
      <c r="I15" s="1" t="s">
        <v>61</v>
      </c>
      <c r="J15" s="1" t="s">
        <v>63</v>
      </c>
      <c r="K15" s="1" t="s">
        <v>65</v>
      </c>
    </row>
    <row r="16" spans="1:15" x14ac:dyDescent="0.25">
      <c r="A16" t="s">
        <v>32</v>
      </c>
      <c r="B16">
        <f>FIND("la",A16)</f>
        <v>10</v>
      </c>
      <c r="C16" t="str">
        <f>REPLACE(A16,8,4,"kalla")</f>
        <v>vishnu kallagotla</v>
      </c>
      <c r="D16" t="str">
        <f>SUBSTITUTE(A16,"kala","kalla")</f>
        <v>vishnu kallagotla</v>
      </c>
      <c r="E16">
        <f>SEARCH("kala",A16)</f>
        <v>8</v>
      </c>
      <c r="F16" t="str">
        <f>MID(A16,4,8)</f>
        <v>hnu kala</v>
      </c>
      <c r="G16" t="s">
        <v>60</v>
      </c>
      <c r="I16" t="s">
        <v>62</v>
      </c>
      <c r="J16" t="s">
        <v>64</v>
      </c>
      <c r="K16" t="s">
        <v>66</v>
      </c>
    </row>
    <row r="17" spans="1:11" x14ac:dyDescent="0.25">
      <c r="A17" t="s">
        <v>55</v>
      </c>
      <c r="B17" t="s">
        <v>56</v>
      </c>
      <c r="C17" t="s">
        <v>57</v>
      </c>
      <c r="D17" t="s">
        <v>58</v>
      </c>
      <c r="E17" t="str">
        <f>_xlfn.CONCAT(A17:D17)</f>
        <v>vardhan</v>
      </c>
      <c r="G17" t="str">
        <f>_xlfn.TEXTJOIN("-",TRUE,A17:D17)</f>
        <v>va-rd-ha-n</v>
      </c>
      <c r="I17" t="str">
        <f>UPPER(A16)</f>
        <v>VISHNU KALAGOTLA</v>
      </c>
      <c r="J17" t="str">
        <f>LOWER(A16)</f>
        <v>vishnu kalagotla</v>
      </c>
      <c r="K17" t="str">
        <f>PROPER(D16)</f>
        <v>Vishnu Kallagotla</v>
      </c>
    </row>
    <row r="18" spans="1:11" x14ac:dyDescent="0.25">
      <c r="A18" t="s">
        <v>27</v>
      </c>
      <c r="B18">
        <f>FIND("pl",A18)</f>
        <v>3</v>
      </c>
      <c r="E18" t="str">
        <f>_xlfn.TEXTJOIN(" ",TRUE,A17:D17)</f>
        <v>va rd ha n</v>
      </c>
    </row>
    <row r="19" spans="1:11" x14ac:dyDescent="0.25">
      <c r="B19">
        <f>FIND("p",A18)</f>
        <v>2</v>
      </c>
      <c r="E19" s="1" t="s">
        <v>43</v>
      </c>
      <c r="G19" s="1" t="s">
        <v>67</v>
      </c>
    </row>
    <row r="20" spans="1:11" ht="18" customHeight="1" x14ac:dyDescent="0.25">
      <c r="E20" t="s">
        <v>69</v>
      </c>
      <c r="G20" t="s">
        <v>68</v>
      </c>
    </row>
    <row r="21" spans="1:11" x14ac:dyDescent="0.25">
      <c r="A21" s="1" t="s">
        <v>37</v>
      </c>
      <c r="E21">
        <f>VALUE("200")</f>
        <v>200</v>
      </c>
    </row>
    <row r="22" spans="1:11" x14ac:dyDescent="0.25">
      <c r="B22" s="1" t="s">
        <v>38</v>
      </c>
      <c r="C22" s="1" t="s">
        <v>39</v>
      </c>
      <c r="D22" s="1" t="s">
        <v>40</v>
      </c>
      <c r="E22" s="1" t="s">
        <v>41</v>
      </c>
    </row>
    <row r="23" spans="1:11" x14ac:dyDescent="0.25">
      <c r="A23">
        <v>24</v>
      </c>
      <c r="B23">
        <f>PRODUCT(A23,A24)</f>
        <v>288</v>
      </c>
      <c r="C23">
        <f>ROUND(SQRT(B23),2)</f>
        <v>16.97</v>
      </c>
      <c r="D23">
        <f>MOD(100,3)</f>
        <v>1</v>
      </c>
      <c r="E23">
        <f>FACT(5)</f>
        <v>120</v>
      </c>
    </row>
    <row r="24" spans="1:11" x14ac:dyDescent="0.25">
      <c r="A24">
        <v>12</v>
      </c>
      <c r="D24">
        <f>MOD(A23,A24)</f>
        <v>0</v>
      </c>
    </row>
    <row r="26" spans="1:11" x14ac:dyDescent="0.25">
      <c r="A26" t="s">
        <v>47</v>
      </c>
      <c r="B26" t="s">
        <v>42</v>
      </c>
      <c r="C26" t="s">
        <v>43</v>
      </c>
      <c r="D26" s="1" t="s">
        <v>4</v>
      </c>
      <c r="E26" s="1" t="s">
        <v>51</v>
      </c>
      <c r="F26" s="1" t="s">
        <v>52</v>
      </c>
      <c r="G26" s="1" t="s">
        <v>6</v>
      </c>
      <c r="H26" s="1" t="s">
        <v>53</v>
      </c>
      <c r="I26" s="1" t="s">
        <v>54</v>
      </c>
    </row>
    <row r="27" spans="1:11" x14ac:dyDescent="0.25">
      <c r="A27" t="s">
        <v>48</v>
      </c>
      <c r="B27" t="s">
        <v>44</v>
      </c>
      <c r="C27">
        <v>100</v>
      </c>
      <c r="D27">
        <f>SUM(C27:C31)</f>
        <v>300</v>
      </c>
      <c r="E27">
        <f>SUMIF(B27:B31,"red",C27:C31)</f>
        <v>230</v>
      </c>
      <c r="F27">
        <f>SUMIFS(C27:C31,B27:B31,"red",A27:A31,"ap")</f>
        <v>130</v>
      </c>
      <c r="G27">
        <f>AVERAGE(C27:C31)</f>
        <v>60</v>
      </c>
      <c r="H27">
        <f>AVERAGEIF(B27:B31,"red",C27:C31)</f>
        <v>76.666666666666671</v>
      </c>
      <c r="I27">
        <f>AVERAGEIFS(C27:C31,B27:B31,"red",A27:A31,"ap")</f>
        <v>65</v>
      </c>
    </row>
    <row r="28" spans="1:11" x14ac:dyDescent="0.25">
      <c r="A28" t="s">
        <v>49</v>
      </c>
      <c r="B28" t="s">
        <v>45</v>
      </c>
      <c r="C28">
        <v>50</v>
      </c>
    </row>
    <row r="29" spans="1:11" x14ac:dyDescent="0.25">
      <c r="A29" t="s">
        <v>50</v>
      </c>
      <c r="B29" t="s">
        <v>44</v>
      </c>
      <c r="C29">
        <v>100</v>
      </c>
    </row>
    <row r="30" spans="1:11" x14ac:dyDescent="0.25">
      <c r="A30" t="s">
        <v>48</v>
      </c>
      <c r="B30" t="s">
        <v>44</v>
      </c>
      <c r="C30">
        <v>30</v>
      </c>
    </row>
    <row r="31" spans="1:11" x14ac:dyDescent="0.25">
      <c r="A31" t="s">
        <v>48</v>
      </c>
      <c r="B31" t="s">
        <v>46</v>
      </c>
      <c r="C31">
        <v>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23691A32J0@MITS.COM</dc:creator>
  <cp:lastModifiedBy>23691A32J0@mits.com</cp:lastModifiedBy>
  <dcterms:created xsi:type="dcterms:W3CDTF">2026-06-01T04:28:07Z</dcterms:created>
  <dcterms:modified xsi:type="dcterms:W3CDTF">2026-06-01T11:19:22Z</dcterms:modified>
</cp:coreProperties>
</file>